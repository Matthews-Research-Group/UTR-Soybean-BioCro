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minpiao/Documents/GitHub/UTR-Soybean-BioCro/Data/"/>
    </mc:Choice>
  </mc:AlternateContent>
  <xr:revisionPtr revIDLastSave="0" documentId="13_ncr:1_{DDC5A7CB-401D-3B42-8DB9-285004D0C9C5}" xr6:coauthVersionLast="47" xr6:coauthVersionMax="47" xr10:uidLastSave="{00000000-0000-0000-0000-000000000000}"/>
  <bookViews>
    <workbookView xWindow="0" yWindow="600" windowWidth="28800" windowHeight="17400" activeTab="2" xr2:uid="{A8BE2E2B-28B6-A944-AF5D-F88762CA8258}"/>
  </bookViews>
  <sheets>
    <sheet name="Proulx" sheetId="1" r:id="rId1"/>
    <sheet name="Sheet1" sheetId="3" r:id="rId2"/>
    <sheet name="Carrer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7" i="2" l="1"/>
  <c r="K13" i="2"/>
  <c r="K17" i="2"/>
  <c r="K16" i="2"/>
  <c r="K15" i="2"/>
  <c r="K14" i="2"/>
  <c r="K12" i="2"/>
  <c r="K6" i="2"/>
  <c r="K8" i="2"/>
  <c r="K9" i="2"/>
  <c r="K10" i="2"/>
  <c r="K5" i="2"/>
  <c r="D6" i="3"/>
  <c r="D7" i="3"/>
  <c r="G7" i="3"/>
  <c r="G6" i="3"/>
  <c r="G11" i="1"/>
  <c r="H11" i="1" s="1"/>
  <c r="G13" i="2"/>
  <c r="G14" i="2"/>
  <c r="G15" i="2"/>
  <c r="G16" i="2"/>
  <c r="G17" i="2"/>
  <c r="G12" i="2"/>
  <c r="I13" i="2"/>
  <c r="I14" i="2"/>
  <c r="I15" i="2"/>
  <c r="I16" i="2"/>
  <c r="I17" i="2"/>
  <c r="I12" i="2"/>
  <c r="J12" i="2" s="1"/>
  <c r="H13" i="2"/>
  <c r="H14" i="2"/>
  <c r="J14" i="2" s="1"/>
  <c r="H15" i="2"/>
  <c r="H16" i="2"/>
  <c r="J16" i="2" s="1"/>
  <c r="H17" i="2"/>
  <c r="J17" i="2" s="1"/>
  <c r="J13" i="2"/>
  <c r="J6" i="2"/>
  <c r="J7" i="2"/>
  <c r="J8" i="2"/>
  <c r="J9" i="2"/>
  <c r="J10" i="2"/>
  <c r="G6" i="2"/>
  <c r="G7" i="2"/>
  <c r="G8" i="2"/>
  <c r="G9" i="2"/>
  <c r="G10" i="2"/>
  <c r="I6" i="2"/>
  <c r="I7" i="2"/>
  <c r="I8" i="2"/>
  <c r="I9" i="2"/>
  <c r="I10" i="2"/>
  <c r="I5" i="2"/>
  <c r="H12" i="2"/>
  <c r="G5" i="2"/>
  <c r="J5" i="2"/>
  <c r="H8" i="2"/>
  <c r="H6" i="2"/>
  <c r="H7" i="2"/>
  <c r="H9" i="2"/>
  <c r="H10" i="2"/>
  <c r="H5" i="2"/>
  <c r="F11" i="1"/>
  <c r="F12" i="1"/>
  <c r="F13" i="1"/>
  <c r="F14" i="1"/>
  <c r="F15" i="1"/>
  <c r="F17" i="1"/>
  <c r="F18" i="1"/>
  <c r="F19" i="1"/>
  <c r="F6" i="1"/>
  <c r="F7" i="1"/>
  <c r="F8" i="1"/>
  <c r="F9" i="1"/>
  <c r="F5" i="1"/>
  <c r="D6" i="1"/>
  <c r="D5" i="1"/>
  <c r="D11" i="1"/>
  <c r="D12" i="1"/>
  <c r="D13" i="1"/>
  <c r="D14" i="1"/>
  <c r="D15" i="1"/>
  <c r="D17" i="1"/>
  <c r="D18" i="1"/>
  <c r="D19" i="1"/>
  <c r="D7" i="1"/>
  <c r="D8" i="1"/>
  <c r="D9" i="1"/>
  <c r="G17" i="1"/>
  <c r="H17" i="1" s="1"/>
  <c r="G18" i="1"/>
  <c r="H18" i="1" s="1"/>
  <c r="G19" i="1"/>
  <c r="H19" i="1" s="1"/>
  <c r="G9" i="1"/>
  <c r="H9" i="1" s="1"/>
  <c r="H7" i="1"/>
  <c r="G5" i="1"/>
  <c r="H5" i="1" s="1"/>
  <c r="G6" i="1"/>
  <c r="H6" i="1" s="1"/>
  <c r="G7" i="1"/>
  <c r="G8" i="1"/>
  <c r="H8" i="1" s="1"/>
  <c r="G12" i="1"/>
  <c r="H12" i="1" s="1"/>
  <c r="G13" i="1"/>
  <c r="H13" i="1" s="1"/>
  <c r="G14" i="1"/>
  <c r="H14" i="1" s="1"/>
  <c r="G15" i="1"/>
  <c r="H15" i="1" s="1"/>
  <c r="G3" i="1"/>
  <c r="H3" i="1" s="1"/>
  <c r="J15" i="2" l="1"/>
</calcChain>
</file>

<file path=xl/sharedStrings.xml><?xml version="1.0" encoding="utf-8"?>
<sst xmlns="http://schemas.openxmlformats.org/spreadsheetml/2006/main" count="111" uniqueCount="66">
  <si>
    <t>Treatment</t>
  </si>
  <si>
    <t>Yield</t>
  </si>
  <si>
    <t>Seed number</t>
  </si>
  <si>
    <t>Seed size</t>
  </si>
  <si>
    <t>Yield calculated from the seed number and size</t>
  </si>
  <si>
    <t>Pod removal</t>
  </si>
  <si>
    <t>Avg</t>
  </si>
  <si>
    <t>Shade</t>
  </si>
  <si>
    <t>(seeds/m^2)</t>
  </si>
  <si>
    <t xml:space="preserve"> (g / 100 seeds)</t>
  </si>
  <si>
    <t>(Mg / ha)</t>
  </si>
  <si>
    <t>(for validation)</t>
  </si>
  <si>
    <t>Control</t>
  </si>
  <si>
    <t>Defoliation</t>
  </si>
  <si>
    <t>Upper</t>
  </si>
  <si>
    <t>Lower</t>
  </si>
  <si>
    <t>Average</t>
  </si>
  <si>
    <t>Calculated - Reported</t>
  </si>
  <si>
    <t>ΔSeed number%</t>
  </si>
  <si>
    <t>ΔSeed size%</t>
  </si>
  <si>
    <t>Table 2. Grain yield and yield components with percentage reductions relative to control</t>
  </si>
  <si>
    <t>Growing seasons 2016–2017 (Year 1) and 2017–2018 (Year 2). New columns (shaded green) show % reduction vs control.</t>
  </si>
  <si>
    <t>Year</t>
  </si>
  <si>
    <t>Defoliation
Stage (DS)</t>
  </si>
  <si>
    <t>Defoliation
Level (%, DL)</t>
  </si>
  <si>
    <t>Grain Yield
(g m⁻²)</t>
  </si>
  <si>
    <t>Grain Number
(grain m⁻²)</t>
  </si>
  <si>
    <t>Grain Weight
(mg grain⁻¹)</t>
  </si>
  <si>
    <t>% Reduction
Grain Number</t>
  </si>
  <si>
    <t>% Reduction
Grain Weight</t>
  </si>
  <si>
    <t>—</t>
  </si>
  <si>
    <t>R5</t>
  </si>
  <si>
    <t>R6</t>
  </si>
  <si>
    <t>Source: Carrera et al. (2022), J Sci Food Agric 102: 4109–4120. Green columns added.</t>
  </si>
  <si>
    <t>% Yield Reduction based on number x weight changes</t>
  </si>
  <si>
    <t>(Validation)</t>
  </si>
  <si>
    <t>Defoliation timing</t>
  </si>
  <si>
    <t>Exp 1 – MG2</t>
  </si>
  <si>
    <t>Exp 2 – MG4</t>
  </si>
  <si>
    <t>Seed wt% change</t>
  </si>
  <si>
    <t>Pod wt% change</t>
  </si>
  <si>
    <t>V4</t>
  </si>
  <si>
    <t>−19%</t>
  </si>
  <si>
    <t>−13%</t>
  </si>
  <si>
    <t>ns</t>
  </si>
  <si>
    <t>R2</t>
  </si>
  <si>
    <t>−17%</t>
  </si>
  <si>
    <t>R3</t>
  </si>
  <si>
    <t>−14%</t>
  </si>
  <si>
    <t>−12%</t>
  </si>
  <si>
    <t>R5+1wk</t>
  </si>
  <si>
    <t>−29%</t>
  </si>
  <si>
    <t>−21%</t>
  </si>
  <si>
    <t>−22%</t>
  </si>
  <si>
    <t>R5+2wk</t>
  </si>
  <si>
    <t>−32%</t>
  </si>
  <si>
    <t>R5+3wk</t>
  </si>
  <si>
    <t>R5+4wk</t>
  </si>
  <si>
    <t>seed:pod ratio change</t>
  </si>
  <si>
    <t>% Reduction Seed:Pod ratio*</t>
  </si>
  <si>
    <t>% Reduction
Yield</t>
  </si>
  <si>
    <t>* % Reduction in Seed:Pod ratio=1-(1-%Reduction Yield)/((1-%Reduction Grain Number)*(1-0.76*%Reduction in Grain Weight)</t>
  </si>
  <si>
    <t>Pod = Number of Pods * Unit Pod weight</t>
  </si>
  <si>
    <t>% Reduction in Number of Pods = % Reduction Grain Number</t>
  </si>
  <si>
    <t>% Reduction in Unit Pod weight = 1 - 76% * Reduction in Unit Grain weight</t>
  </si>
  <si>
    <t>76% seed:pod ratio is found in the SoyFACE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</si>
</sst>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rgb="FFFFFFFF"/>
      <name val="Arial"/>
      <family val="2"/>
    </font>
    <font>
      <i/>
      <sz val="9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375623"/>
        <bgColor rgb="FF333300"/>
      </patternFill>
    </fill>
    <fill>
      <patternFill patternType="solid">
        <fgColor rgb="FFD6E4F0"/>
        <bgColor rgb="FFE2EFDA"/>
      </patternFill>
    </fill>
    <fill>
      <patternFill patternType="solid">
        <fgColor rgb="FFFFFFFF"/>
        <bgColor rgb="FFF5F5F5"/>
      </patternFill>
    </fill>
    <fill>
      <patternFill patternType="solid">
        <fgColor rgb="FFE2EFDA"/>
        <bgColor rgb="FFD6E4F0"/>
      </patternFill>
    </fill>
    <fill>
      <patternFill patternType="solid">
        <fgColor rgb="FFF5F5F5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9" fontId="0" fillId="0" borderId="0" xfId="0" applyNumberFormat="1"/>
    <xf numFmtId="2" fontId="0" fillId="0" borderId="0" xfId="0" applyNumberFormat="1"/>
    <xf numFmtId="0" fontId="2" fillId="0" borderId="0" xfId="0" applyFont="1"/>
    <xf numFmtId="9" fontId="0" fillId="0" borderId="0" xfId="1" applyFont="1" applyFill="1"/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9" fontId="7" fillId="7" borderId="1" xfId="1" applyFont="1" applyFill="1" applyBorder="1" applyAlignment="1">
      <alignment horizontal="center" vertical="center" wrapText="1"/>
    </xf>
    <xf numFmtId="165" fontId="7" fillId="7" borderId="1" xfId="1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8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E2086-ABBC-6F48-BF54-614EA57E2980}">
  <dimension ref="A1:H19"/>
  <sheetViews>
    <sheetView workbookViewId="0">
      <selection activeCell="D11" sqref="D11:F14"/>
    </sheetView>
  </sheetViews>
  <sheetFormatPr baseColWidth="10" defaultRowHeight="16" x14ac:dyDescent="0.2"/>
  <cols>
    <col min="3" max="3" width="11.83203125" bestFit="1" customWidth="1"/>
    <col min="4" max="4" width="14.83203125" bestFit="1" customWidth="1"/>
    <col min="5" max="5" width="20.6640625" bestFit="1" customWidth="1"/>
    <col min="6" max="6" width="11.6640625" bestFit="1" customWidth="1"/>
    <col min="7" max="7" width="40.33203125" bestFit="1" customWidth="1"/>
    <col min="8" max="8" width="19.1640625" bestFit="1" customWidth="1"/>
  </cols>
  <sheetData>
    <row r="1" spans="1:8" x14ac:dyDescent="0.2">
      <c r="A1" s="3" t="s">
        <v>0</v>
      </c>
      <c r="B1" s="3" t="s">
        <v>1</v>
      </c>
      <c r="C1" s="3" t="s">
        <v>2</v>
      </c>
      <c r="D1" s="3" t="s">
        <v>18</v>
      </c>
      <c r="E1" s="3" t="s">
        <v>3</v>
      </c>
      <c r="F1" s="3" t="s">
        <v>19</v>
      </c>
      <c r="G1" s="3" t="s">
        <v>4</v>
      </c>
      <c r="H1" s="3" t="s">
        <v>17</v>
      </c>
    </row>
    <row r="2" spans="1:8" x14ac:dyDescent="0.2">
      <c r="A2" s="3"/>
      <c r="B2" s="3" t="s">
        <v>10</v>
      </c>
      <c r="C2" s="3" t="s">
        <v>8</v>
      </c>
      <c r="D2" s="3"/>
      <c r="E2" s="3" t="s">
        <v>9</v>
      </c>
      <c r="F2" s="3"/>
      <c r="G2" s="3" t="s">
        <v>10</v>
      </c>
      <c r="H2" s="3" t="s">
        <v>11</v>
      </c>
    </row>
    <row r="3" spans="1:8" x14ac:dyDescent="0.2">
      <c r="A3" t="s">
        <v>12</v>
      </c>
      <c r="B3">
        <v>3.75</v>
      </c>
      <c r="C3">
        <v>2030</v>
      </c>
      <c r="E3">
        <v>18.100000000000001</v>
      </c>
      <c r="G3" s="2">
        <f>C3 *E3 / 100 * 10^4 / 10^6</f>
        <v>3.6743000000000001</v>
      </c>
      <c r="H3" s="2">
        <f>G3-B3</f>
        <v>-7.5699999999999878E-2</v>
      </c>
    </row>
    <row r="4" spans="1:8" x14ac:dyDescent="0.2">
      <c r="A4" t="s">
        <v>5</v>
      </c>
      <c r="G4" s="2"/>
      <c r="H4" s="2"/>
    </row>
    <row r="5" spans="1:8" x14ac:dyDescent="0.2">
      <c r="A5" s="1">
        <v>0.2</v>
      </c>
      <c r="B5">
        <v>3.31</v>
      </c>
      <c r="C5">
        <v>1640</v>
      </c>
      <c r="D5" s="4">
        <f>(C5-$C$3)/$C$3</f>
        <v>-0.19211822660098521</v>
      </c>
      <c r="E5">
        <v>20</v>
      </c>
      <c r="F5" s="4">
        <f>(E5-$E$3)/$E$3</f>
        <v>0.10497237569060765</v>
      </c>
      <c r="G5" s="2">
        <f t="shared" ref="G5:G19" si="0">C5 *E5 / 100 * 10^4 / 10^6</f>
        <v>3.28</v>
      </c>
      <c r="H5" s="2">
        <f t="shared" ref="H5:H19" si="1">G5-B5</f>
        <v>-3.0000000000000249E-2</v>
      </c>
    </row>
    <row r="6" spans="1:8" x14ac:dyDescent="0.2">
      <c r="A6" s="1">
        <v>0.4</v>
      </c>
      <c r="B6">
        <v>2.48</v>
      </c>
      <c r="C6">
        <v>1110</v>
      </c>
      <c r="D6" s="4">
        <f>(C6-$C$3)/$C$3</f>
        <v>-0.45320197044334976</v>
      </c>
      <c r="E6">
        <v>22.1</v>
      </c>
      <c r="F6" s="4">
        <f t="shared" ref="F6:F19" si="2">(E6-$E$3)/$E$3</f>
        <v>0.22099447513812154</v>
      </c>
      <c r="G6" s="2">
        <f t="shared" si="0"/>
        <v>2.4531000000000001</v>
      </c>
      <c r="H6" s="2">
        <f t="shared" si="1"/>
        <v>-2.6899999999999924E-2</v>
      </c>
    </row>
    <row r="7" spans="1:8" x14ac:dyDescent="0.2">
      <c r="A7" s="1">
        <v>0.6</v>
      </c>
      <c r="B7">
        <v>1.87</v>
      </c>
      <c r="C7">
        <v>820</v>
      </c>
      <c r="D7" s="4">
        <f t="shared" ref="D7:D19" si="3">(C7-$C$3)/$C$3</f>
        <v>-0.59605911330049266</v>
      </c>
      <c r="E7">
        <v>22.2</v>
      </c>
      <c r="F7" s="4">
        <f t="shared" si="2"/>
        <v>0.22651933701657445</v>
      </c>
      <c r="G7" s="2">
        <f t="shared" si="0"/>
        <v>1.8204</v>
      </c>
      <c r="H7" s="2">
        <f t="shared" si="1"/>
        <v>-4.9600000000000088E-2</v>
      </c>
    </row>
    <row r="8" spans="1:8" x14ac:dyDescent="0.2">
      <c r="A8" s="1">
        <v>0.7</v>
      </c>
      <c r="B8">
        <v>1.79</v>
      </c>
      <c r="C8">
        <v>800</v>
      </c>
      <c r="D8" s="4">
        <f t="shared" si="3"/>
        <v>-0.60591133004926112</v>
      </c>
      <c r="E8">
        <v>21.8</v>
      </c>
      <c r="F8" s="4">
        <f t="shared" si="2"/>
        <v>0.20441988950276238</v>
      </c>
      <c r="G8" s="2">
        <f t="shared" si="0"/>
        <v>1.744</v>
      </c>
      <c r="H8" s="2">
        <f t="shared" si="1"/>
        <v>-4.6000000000000041E-2</v>
      </c>
    </row>
    <row r="9" spans="1:8" x14ac:dyDescent="0.2">
      <c r="A9" t="s">
        <v>6</v>
      </c>
      <c r="B9">
        <v>2.36</v>
      </c>
      <c r="C9">
        <v>1090</v>
      </c>
      <c r="D9" s="4">
        <f t="shared" si="3"/>
        <v>-0.46305418719211822</v>
      </c>
      <c r="E9">
        <v>21.5</v>
      </c>
      <c r="F9" s="4">
        <f t="shared" si="2"/>
        <v>0.18784530386740322</v>
      </c>
      <c r="G9" s="2">
        <f>C9 *E9 / 100 * 10^4 / 10^6</f>
        <v>2.3435000000000001</v>
      </c>
      <c r="H9" s="2">
        <f t="shared" si="1"/>
        <v>-1.6499999999999737E-2</v>
      </c>
    </row>
    <row r="10" spans="1:8" x14ac:dyDescent="0.2">
      <c r="A10" t="s">
        <v>7</v>
      </c>
      <c r="D10" s="4"/>
      <c r="F10" s="4"/>
      <c r="G10" s="2"/>
      <c r="H10" s="2"/>
    </row>
    <row r="11" spans="1:8" x14ac:dyDescent="0.2">
      <c r="A11" s="1">
        <v>0.5</v>
      </c>
      <c r="B11">
        <v>3.07</v>
      </c>
      <c r="C11">
        <v>1840</v>
      </c>
      <c r="D11" s="4">
        <f t="shared" si="3"/>
        <v>-9.3596059113300489E-2</v>
      </c>
      <c r="E11">
        <v>16.600000000000001</v>
      </c>
      <c r="F11" s="4">
        <f t="shared" si="2"/>
        <v>-8.2872928176795577E-2</v>
      </c>
      <c r="G11" s="2">
        <f>C11 *E11 / 100 * 10^4 / 10^6</f>
        <v>3.0544000000000007</v>
      </c>
      <c r="H11" s="2">
        <f t="shared" si="1"/>
        <v>-1.559999999999917E-2</v>
      </c>
    </row>
    <row r="12" spans="1:8" x14ac:dyDescent="0.2">
      <c r="A12" s="1">
        <v>0.6</v>
      </c>
      <c r="B12">
        <v>2.67</v>
      </c>
      <c r="C12">
        <v>1700</v>
      </c>
      <c r="D12" s="4">
        <f t="shared" si="3"/>
        <v>-0.1625615763546798</v>
      </c>
      <c r="E12">
        <v>15.5</v>
      </c>
      <c r="F12" s="4">
        <f t="shared" si="2"/>
        <v>-0.14364640883977908</v>
      </c>
      <c r="G12" s="2">
        <f t="shared" si="0"/>
        <v>2.6349999999999998</v>
      </c>
      <c r="H12" s="2">
        <f t="shared" si="1"/>
        <v>-3.5000000000000142E-2</v>
      </c>
    </row>
    <row r="13" spans="1:8" x14ac:dyDescent="0.2">
      <c r="A13" s="1">
        <v>0.7</v>
      </c>
      <c r="B13">
        <v>2.54</v>
      </c>
      <c r="C13">
        <v>1640</v>
      </c>
      <c r="D13" s="4">
        <f t="shared" si="3"/>
        <v>-0.19211822660098521</v>
      </c>
      <c r="E13">
        <v>14.9</v>
      </c>
      <c r="F13" s="4">
        <f t="shared" si="2"/>
        <v>-0.17679558011049729</v>
      </c>
      <c r="G13" s="2">
        <f t="shared" si="0"/>
        <v>2.4436</v>
      </c>
      <c r="H13" s="2">
        <f t="shared" si="1"/>
        <v>-9.6400000000000041E-2</v>
      </c>
    </row>
    <row r="14" spans="1:8" x14ac:dyDescent="0.2">
      <c r="A14" s="1">
        <v>0.8</v>
      </c>
      <c r="B14">
        <v>2.33</v>
      </c>
      <c r="C14">
        <v>1600</v>
      </c>
      <c r="D14" s="4">
        <f t="shared" si="3"/>
        <v>-0.21182266009852216</v>
      </c>
      <c r="E14">
        <v>14.5</v>
      </c>
      <c r="F14" s="4">
        <f t="shared" si="2"/>
        <v>-0.19889502762430947</v>
      </c>
      <c r="G14" s="2">
        <f t="shared" si="0"/>
        <v>2.3199999999999998</v>
      </c>
      <c r="H14" s="2">
        <f t="shared" si="1"/>
        <v>-1.0000000000000231E-2</v>
      </c>
    </row>
    <row r="15" spans="1:8" x14ac:dyDescent="0.2">
      <c r="A15" t="s">
        <v>6</v>
      </c>
      <c r="B15">
        <v>2.65</v>
      </c>
      <c r="C15">
        <v>1690</v>
      </c>
      <c r="D15" s="4">
        <f t="shared" si="3"/>
        <v>-0.16748768472906403</v>
      </c>
      <c r="E15">
        <v>15.4</v>
      </c>
      <c r="F15" s="4">
        <f t="shared" si="2"/>
        <v>-0.14917127071823208</v>
      </c>
      <c r="G15" s="2">
        <f t="shared" si="0"/>
        <v>2.6025999999999998</v>
      </c>
      <c r="H15" s="2">
        <f t="shared" si="1"/>
        <v>-4.7400000000000109E-2</v>
      </c>
    </row>
    <row r="16" spans="1:8" x14ac:dyDescent="0.2">
      <c r="A16" t="s">
        <v>13</v>
      </c>
      <c r="D16" s="4"/>
      <c r="E16" s="2"/>
      <c r="F16" s="4"/>
      <c r="G16" s="2"/>
      <c r="H16" s="2"/>
    </row>
    <row r="17" spans="1:8" x14ac:dyDescent="0.2">
      <c r="A17" t="s">
        <v>14</v>
      </c>
      <c r="B17">
        <v>2.76</v>
      </c>
      <c r="C17">
        <v>1660</v>
      </c>
      <c r="D17" s="4">
        <f t="shared" si="3"/>
        <v>-0.18226600985221675</v>
      </c>
      <c r="E17">
        <v>16</v>
      </c>
      <c r="F17" s="4">
        <f t="shared" si="2"/>
        <v>-0.11602209944751388</v>
      </c>
      <c r="G17" s="2">
        <f t="shared" si="0"/>
        <v>2.6560000000000001</v>
      </c>
      <c r="H17" s="2">
        <f t="shared" si="1"/>
        <v>-0.10399999999999965</v>
      </c>
    </row>
    <row r="18" spans="1:8" x14ac:dyDescent="0.2">
      <c r="A18" t="s">
        <v>15</v>
      </c>
      <c r="B18">
        <v>3.25</v>
      </c>
      <c r="C18">
        <v>1860</v>
      </c>
      <c r="D18" s="4">
        <f t="shared" si="3"/>
        <v>-8.3743842364532015E-2</v>
      </c>
      <c r="E18">
        <v>17.3</v>
      </c>
      <c r="F18" s="4">
        <f t="shared" si="2"/>
        <v>-4.4198895027624342E-2</v>
      </c>
      <c r="G18" s="2">
        <f t="shared" si="0"/>
        <v>3.2177999999999995</v>
      </c>
      <c r="H18" s="2">
        <f t="shared" si="1"/>
        <v>-3.220000000000045E-2</v>
      </c>
    </row>
    <row r="19" spans="1:8" x14ac:dyDescent="0.2">
      <c r="A19" t="s">
        <v>16</v>
      </c>
      <c r="C19">
        <v>1760</v>
      </c>
      <c r="D19" s="4">
        <f t="shared" si="3"/>
        <v>-0.13300492610837439</v>
      </c>
      <c r="E19">
        <v>16.7</v>
      </c>
      <c r="F19" s="4">
        <f t="shared" si="2"/>
        <v>-7.7348066298342649E-2</v>
      </c>
      <c r="G19" s="2">
        <f t="shared" si="0"/>
        <v>2.9392</v>
      </c>
      <c r="H19" s="2">
        <f t="shared" si="1"/>
        <v>2.9392</v>
      </c>
    </row>
  </sheetData>
  <conditionalFormatting sqref="D5:D19 F5:F19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CB73A-0032-5140-B1AB-CEB4A49D699E}">
  <dimension ref="A1:G10"/>
  <sheetViews>
    <sheetView workbookViewId="0">
      <selection activeCell="D7" sqref="D7"/>
    </sheetView>
  </sheetViews>
  <sheetFormatPr baseColWidth="10" defaultRowHeight="16" x14ac:dyDescent="0.2"/>
  <cols>
    <col min="1" max="1" width="16" bestFit="1" customWidth="1"/>
    <col min="2" max="2" width="15.33203125" bestFit="1" customWidth="1"/>
    <col min="3" max="3" width="14.5" bestFit="1" customWidth="1"/>
    <col min="4" max="4" width="14.5" customWidth="1"/>
  </cols>
  <sheetData>
    <row r="1" spans="1:7" x14ac:dyDescent="0.2">
      <c r="A1" s="16" t="s">
        <v>36</v>
      </c>
      <c r="B1" s="16" t="s">
        <v>37</v>
      </c>
      <c r="C1" s="16"/>
      <c r="D1" s="16"/>
      <c r="E1" s="16" t="s">
        <v>38</v>
      </c>
    </row>
    <row r="2" spans="1:7" x14ac:dyDescent="0.2">
      <c r="B2" s="16" t="s">
        <v>39</v>
      </c>
      <c r="C2" s="16" t="s">
        <v>40</v>
      </c>
      <c r="D2" s="16" t="s">
        <v>58</v>
      </c>
      <c r="E2" s="16" t="s">
        <v>39</v>
      </c>
      <c r="F2" s="16" t="s">
        <v>40</v>
      </c>
    </row>
    <row r="3" spans="1:7" x14ac:dyDescent="0.2">
      <c r="A3" s="16" t="s">
        <v>41</v>
      </c>
      <c r="B3" s="17" t="s">
        <v>42</v>
      </c>
      <c r="C3" s="17" t="s">
        <v>43</v>
      </c>
      <c r="D3" s="17"/>
      <c r="E3" t="s">
        <v>44</v>
      </c>
      <c r="F3" t="s">
        <v>44</v>
      </c>
    </row>
    <row r="4" spans="1:7" x14ac:dyDescent="0.2">
      <c r="A4" s="16" t="s">
        <v>45</v>
      </c>
      <c r="B4" t="s">
        <v>46</v>
      </c>
      <c r="C4" t="s">
        <v>44</v>
      </c>
      <c r="E4" t="s">
        <v>44</v>
      </c>
      <c r="F4" t="s">
        <v>44</v>
      </c>
    </row>
    <row r="5" spans="1:7" x14ac:dyDescent="0.2">
      <c r="A5" s="16" t="s">
        <v>47</v>
      </c>
      <c r="B5" t="s">
        <v>44</v>
      </c>
      <c r="C5" t="s">
        <v>44</v>
      </c>
      <c r="E5" t="s">
        <v>44</v>
      </c>
      <c r="F5" t="s">
        <v>44</v>
      </c>
    </row>
    <row r="6" spans="1:7" x14ac:dyDescent="0.2">
      <c r="A6" s="16" t="s">
        <v>31</v>
      </c>
      <c r="B6" t="s">
        <v>48</v>
      </c>
      <c r="C6" t="s">
        <v>44</v>
      </c>
      <c r="D6" s="17">
        <f>0.14</f>
        <v>0.14000000000000001</v>
      </c>
      <c r="E6" s="2" t="s">
        <v>48</v>
      </c>
      <c r="F6" s="2" t="s">
        <v>49</v>
      </c>
      <c r="G6" s="17">
        <f>1-84/88</f>
        <v>4.5454545454545414E-2</v>
      </c>
    </row>
    <row r="7" spans="1:7" x14ac:dyDescent="0.2">
      <c r="A7" s="16" t="s">
        <v>50</v>
      </c>
      <c r="B7" s="2" t="s">
        <v>51</v>
      </c>
      <c r="C7" s="2" t="s">
        <v>52</v>
      </c>
      <c r="D7" s="17">
        <f>1-0.71/0.79</f>
        <v>0.10126582278481022</v>
      </c>
      <c r="E7" s="2" t="s">
        <v>53</v>
      </c>
      <c r="F7" s="2" t="s">
        <v>49</v>
      </c>
      <c r="G7" s="17">
        <f>1-78/88</f>
        <v>0.11363636363636365</v>
      </c>
    </row>
    <row r="8" spans="1:7" x14ac:dyDescent="0.2">
      <c r="A8" s="16" t="s">
        <v>54</v>
      </c>
      <c r="B8" s="2" t="s">
        <v>55</v>
      </c>
      <c r="C8" s="2" t="s">
        <v>52</v>
      </c>
      <c r="E8" t="s">
        <v>44</v>
      </c>
      <c r="F8" t="s">
        <v>44</v>
      </c>
    </row>
    <row r="9" spans="1:7" x14ac:dyDescent="0.2">
      <c r="A9" s="16" t="s">
        <v>56</v>
      </c>
      <c r="B9" t="s">
        <v>44</v>
      </c>
      <c r="C9" t="s">
        <v>44</v>
      </c>
      <c r="E9" t="s">
        <v>44</v>
      </c>
      <c r="F9" t="s">
        <v>44</v>
      </c>
    </row>
    <row r="10" spans="1:7" x14ac:dyDescent="0.2">
      <c r="A10" s="16" t="s">
        <v>57</v>
      </c>
      <c r="B10" t="s">
        <v>44</v>
      </c>
      <c r="C10" t="s">
        <v>44</v>
      </c>
      <c r="E10" t="s">
        <v>44</v>
      </c>
      <c r="F10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3ECF1-E7CD-2548-95A4-57BCCF098550}">
  <dimension ref="A1:K25"/>
  <sheetViews>
    <sheetView tabSelected="1" workbookViewId="0">
      <selection activeCell="A21" sqref="A21"/>
    </sheetView>
  </sheetViews>
  <sheetFormatPr baseColWidth="10" defaultColWidth="8.6640625" defaultRowHeight="16" x14ac:dyDescent="0.2"/>
  <cols>
    <col min="1" max="1" width="8" customWidth="1"/>
    <col min="2" max="4" width="14" customWidth="1"/>
    <col min="5" max="6" width="16" customWidth="1"/>
    <col min="7" max="9" width="14" customWidth="1"/>
    <col min="10" max="10" width="25.6640625" customWidth="1"/>
    <col min="11" max="11" width="13.83203125" bestFit="1" customWidth="1"/>
  </cols>
  <sheetData>
    <row r="1" spans="1:11" x14ac:dyDescent="0.2">
      <c r="A1" s="15" t="s">
        <v>20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x14ac:dyDescent="0.2">
      <c r="A2" s="13" t="s">
        <v>21</v>
      </c>
      <c r="B2" s="13"/>
      <c r="C2" s="13"/>
      <c r="D2" s="13"/>
      <c r="E2" s="13"/>
      <c r="F2" s="13"/>
      <c r="G2" s="13"/>
      <c r="H2" s="13"/>
      <c r="I2" s="13"/>
    </row>
    <row r="3" spans="1:11" ht="39" customHeight="1" x14ac:dyDescent="0.2">
      <c r="A3" s="5" t="s">
        <v>22</v>
      </c>
      <c r="B3" s="5" t="s">
        <v>23</v>
      </c>
      <c r="C3" s="5" t="s">
        <v>24</v>
      </c>
      <c r="D3" s="5" t="s">
        <v>25</v>
      </c>
      <c r="E3" s="5" t="s">
        <v>26</v>
      </c>
      <c r="F3" s="5" t="s">
        <v>27</v>
      </c>
      <c r="G3" s="6" t="s">
        <v>60</v>
      </c>
      <c r="H3" s="6" t="s">
        <v>28</v>
      </c>
      <c r="I3" s="6" t="s">
        <v>29</v>
      </c>
      <c r="J3" s="12" t="s">
        <v>34</v>
      </c>
      <c r="K3" s="12" t="s">
        <v>59</v>
      </c>
    </row>
    <row r="4" spans="1:11" x14ac:dyDescent="0.2">
      <c r="A4" s="7">
        <v>1</v>
      </c>
      <c r="B4" s="7" t="s">
        <v>12</v>
      </c>
      <c r="C4" s="7">
        <v>0</v>
      </c>
      <c r="D4" s="7">
        <v>542</v>
      </c>
      <c r="E4" s="7">
        <v>2737</v>
      </c>
      <c r="F4" s="7">
        <v>198.6</v>
      </c>
      <c r="G4" s="7" t="s">
        <v>30</v>
      </c>
      <c r="H4" s="7" t="s">
        <v>30</v>
      </c>
      <c r="I4" s="7" t="s">
        <v>30</v>
      </c>
      <c r="J4" s="7" t="s">
        <v>35</v>
      </c>
      <c r="K4" s="7"/>
    </row>
    <row r="5" spans="1:11" x14ac:dyDescent="0.2">
      <c r="A5" s="8">
        <v>1</v>
      </c>
      <c r="B5" s="8" t="s">
        <v>31</v>
      </c>
      <c r="C5" s="8">
        <v>33</v>
      </c>
      <c r="D5" s="8">
        <v>511</v>
      </c>
      <c r="E5" s="8">
        <v>2612</v>
      </c>
      <c r="F5" s="8">
        <v>195.9</v>
      </c>
      <c r="G5" s="11">
        <f>($D$4-D5)/$D$4</f>
        <v>5.719557195571956E-2</v>
      </c>
      <c r="H5" s="10">
        <f>($E$4-E5)/$E$4</f>
        <v>4.5670442089879429E-2</v>
      </c>
      <c r="I5" s="11">
        <f>($F$5-F5)/$F$5</f>
        <v>0</v>
      </c>
      <c r="J5" s="11">
        <f>1-(1-H5)*(1-I5)</f>
        <v>4.5670442089879471E-2</v>
      </c>
      <c r="K5" s="11">
        <f>1-(1-G5)/((1-H5)*(1-0.76*I5))</f>
        <v>1.2076677045484097E-2</v>
      </c>
    </row>
    <row r="6" spans="1:11" x14ac:dyDescent="0.2">
      <c r="A6" s="8">
        <v>1</v>
      </c>
      <c r="B6" s="8" t="s">
        <v>31</v>
      </c>
      <c r="C6" s="8">
        <v>66</v>
      </c>
      <c r="D6" s="8">
        <v>444</v>
      </c>
      <c r="E6" s="8">
        <v>2361</v>
      </c>
      <c r="F6" s="8">
        <v>189.1</v>
      </c>
      <c r="G6" s="11">
        <f t="shared" ref="G6:G10" si="0">($D$4-D6)/$D$4</f>
        <v>0.18081180811808117</v>
      </c>
      <c r="H6" s="10">
        <f t="shared" ref="H6:H10" si="1">($E$4-E6)/$E$4</f>
        <v>0.13737668980635734</v>
      </c>
      <c r="I6" s="11">
        <f t="shared" ref="I6:I10" si="2">($F$5-F6)/$F$5</f>
        <v>3.4711587544665704E-2</v>
      </c>
      <c r="J6" s="11">
        <f t="shared" ref="J6:J17" si="3">1-(1-H6)*(1-I6)</f>
        <v>0.16731971435621329</v>
      </c>
      <c r="K6" s="11">
        <f t="shared" ref="K6:K10" si="4">1-(1-G6)/((1-H6)*(1-0.76*I6))</f>
        <v>2.4621075977793061E-2</v>
      </c>
    </row>
    <row r="7" spans="1:11" x14ac:dyDescent="0.2">
      <c r="A7" s="8">
        <v>1</v>
      </c>
      <c r="B7" s="8" t="s">
        <v>31</v>
      </c>
      <c r="C7" s="8">
        <v>100</v>
      </c>
      <c r="D7" s="8">
        <v>170</v>
      </c>
      <c r="E7" s="8">
        <v>1658</v>
      </c>
      <c r="F7" s="8">
        <v>102.9</v>
      </c>
      <c r="G7" s="11">
        <f t="shared" si="0"/>
        <v>0.68634686346863472</v>
      </c>
      <c r="H7" s="10">
        <f t="shared" si="1"/>
        <v>0.39422725611983922</v>
      </c>
      <c r="I7" s="11">
        <f t="shared" si="2"/>
        <v>0.47473200612557426</v>
      </c>
      <c r="J7" s="11">
        <f t="shared" si="3"/>
        <v>0.68180696607826152</v>
      </c>
      <c r="K7" s="11">
        <f>1-(1-G7)/((1-H7)*(1-0.76*I7))</f>
        <v>0.18997085980276485</v>
      </c>
    </row>
    <row r="8" spans="1:11" x14ac:dyDescent="0.2">
      <c r="A8" s="8">
        <v>1</v>
      </c>
      <c r="B8" s="8" t="s">
        <v>32</v>
      </c>
      <c r="C8" s="8">
        <v>33</v>
      </c>
      <c r="D8" s="8">
        <v>537</v>
      </c>
      <c r="E8" s="8">
        <v>2877</v>
      </c>
      <c r="F8" s="8">
        <v>186.7</v>
      </c>
      <c r="G8" s="11">
        <f t="shared" si="0"/>
        <v>9.2250922509225092E-3</v>
      </c>
      <c r="H8" s="10">
        <f>($E$4-E8)/$E$4</f>
        <v>-5.1150895140664961E-2</v>
      </c>
      <c r="I8" s="11">
        <f t="shared" si="2"/>
        <v>4.696273608984184E-2</v>
      </c>
      <c r="J8" s="11">
        <f t="shared" si="3"/>
        <v>-1.7859730615730207E-3</v>
      </c>
      <c r="K8" s="11">
        <f t="shared" si="4"/>
        <v>2.2551193686457749E-2</v>
      </c>
    </row>
    <row r="9" spans="1:11" x14ac:dyDescent="0.2">
      <c r="A9" s="8">
        <v>1</v>
      </c>
      <c r="B9" s="8" t="s">
        <v>32</v>
      </c>
      <c r="C9" s="8">
        <v>66</v>
      </c>
      <c r="D9" s="8">
        <v>437</v>
      </c>
      <c r="E9" s="8">
        <v>2574</v>
      </c>
      <c r="F9" s="8">
        <v>171.6</v>
      </c>
      <c r="G9" s="11">
        <f t="shared" si="0"/>
        <v>0.19372693726937271</v>
      </c>
      <c r="H9" s="10">
        <f t="shared" si="1"/>
        <v>5.9554256485202774E-2</v>
      </c>
      <c r="I9" s="11">
        <f t="shared" si="2"/>
        <v>0.12404287901990817</v>
      </c>
      <c r="J9" s="11">
        <f t="shared" si="3"/>
        <v>0.17620985407279632</v>
      </c>
      <c r="K9" s="11">
        <f t="shared" si="4"/>
        <v>5.3434016332437273E-2</v>
      </c>
    </row>
    <row r="10" spans="1:11" x14ac:dyDescent="0.2">
      <c r="A10" s="8">
        <v>1</v>
      </c>
      <c r="B10" s="8" t="s">
        <v>32</v>
      </c>
      <c r="C10" s="8">
        <v>100</v>
      </c>
      <c r="D10" s="8">
        <v>249</v>
      </c>
      <c r="E10" s="8">
        <v>2347</v>
      </c>
      <c r="F10" s="8">
        <v>106.6</v>
      </c>
      <c r="G10" s="11">
        <f t="shared" si="0"/>
        <v>0.54059040590405905</v>
      </c>
      <c r="H10" s="10">
        <f t="shared" si="1"/>
        <v>0.14249177932042381</v>
      </c>
      <c r="I10" s="11">
        <f t="shared" si="2"/>
        <v>0.45584481878509447</v>
      </c>
      <c r="J10" s="11">
        <f t="shared" si="3"/>
        <v>0.53338245878283408</v>
      </c>
      <c r="K10" s="11">
        <f t="shared" si="4"/>
        <v>0.18025707953719772</v>
      </c>
    </row>
    <row r="11" spans="1:11" x14ac:dyDescent="0.2">
      <c r="A11" s="7">
        <v>2</v>
      </c>
      <c r="B11" s="7" t="s">
        <v>12</v>
      </c>
      <c r="C11" s="7">
        <v>0</v>
      </c>
      <c r="D11" s="7">
        <v>446</v>
      </c>
      <c r="E11" s="7">
        <v>2672</v>
      </c>
      <c r="F11" s="7">
        <v>167.1</v>
      </c>
      <c r="G11" s="7" t="s">
        <v>30</v>
      </c>
      <c r="H11" s="7" t="s">
        <v>30</v>
      </c>
      <c r="I11" s="7" t="s">
        <v>30</v>
      </c>
      <c r="J11" s="7" t="s">
        <v>30</v>
      </c>
      <c r="K11" s="7"/>
    </row>
    <row r="12" spans="1:11" x14ac:dyDescent="0.2">
      <c r="A12" s="9">
        <v>2</v>
      </c>
      <c r="B12" s="9" t="s">
        <v>31</v>
      </c>
      <c r="C12" s="9">
        <v>33</v>
      </c>
      <c r="D12" s="9">
        <v>385</v>
      </c>
      <c r="E12" s="9">
        <v>2535</v>
      </c>
      <c r="F12" s="9">
        <v>151.69999999999999</v>
      </c>
      <c r="G12" s="11">
        <f>($D$11-D12)/$D$11</f>
        <v>0.1367713004484305</v>
      </c>
      <c r="H12" s="10">
        <f>($E$11-E12)/$E$11</f>
        <v>5.1272455089820361E-2</v>
      </c>
      <c r="I12" s="11">
        <f>($F$11-F12)/$F$11</f>
        <v>9.2160383004189148E-2</v>
      </c>
      <c r="J12" s="11">
        <f>1-(1-H12)*(1-I12)</f>
        <v>0.13870754899536664</v>
      </c>
      <c r="K12" s="11">
        <f>1-(1-G12)/((1-H12)*(1-0.76*I12))</f>
        <v>2.158979177808984E-2</v>
      </c>
    </row>
    <row r="13" spans="1:11" x14ac:dyDescent="0.2">
      <c r="A13" s="9">
        <v>2</v>
      </c>
      <c r="B13" s="9" t="s">
        <v>31</v>
      </c>
      <c r="C13" s="9">
        <v>66</v>
      </c>
      <c r="D13" s="9">
        <v>340</v>
      </c>
      <c r="E13" s="9">
        <v>2154</v>
      </c>
      <c r="F13" s="9">
        <v>159.6</v>
      </c>
      <c r="G13" s="11">
        <f t="shared" ref="G13:G17" si="5">($D$11-D13)/$D$11</f>
        <v>0.23766816143497757</v>
      </c>
      <c r="H13" s="10">
        <f t="shared" ref="H13:H17" si="6">($E$11-E13)/$E$11</f>
        <v>0.19386227544910178</v>
      </c>
      <c r="I13" s="11">
        <f t="shared" ref="I13:I17" si="7">($F$11-F13)/$F$11</f>
        <v>4.4883303411131059E-2</v>
      </c>
      <c r="J13" s="11">
        <f t="shared" si="3"/>
        <v>0.23004439953127853</v>
      </c>
      <c r="K13" s="11">
        <f>1-(1-G13)/((1-H13)*(1-0.76*I13))</f>
        <v>2.0943550458836002E-2</v>
      </c>
    </row>
    <row r="14" spans="1:11" x14ac:dyDescent="0.2">
      <c r="A14" s="9">
        <v>2</v>
      </c>
      <c r="B14" s="9" t="s">
        <v>31</v>
      </c>
      <c r="C14" s="9">
        <v>100</v>
      </c>
      <c r="D14" s="9">
        <v>108</v>
      </c>
      <c r="E14" s="9">
        <v>1342</v>
      </c>
      <c r="F14" s="9">
        <v>81.5</v>
      </c>
      <c r="G14" s="11">
        <f t="shared" si="5"/>
        <v>0.75784753363228696</v>
      </c>
      <c r="H14" s="10">
        <f t="shared" si="6"/>
        <v>0.4977544910179641</v>
      </c>
      <c r="I14" s="11">
        <f t="shared" si="7"/>
        <v>0.51226810293237579</v>
      </c>
      <c r="J14" s="11">
        <f t="shared" si="3"/>
        <v>0.75503884511049713</v>
      </c>
      <c r="K14" s="11">
        <f t="shared" ref="K13:K17" si="8">1-(1-G14)/((1-H14)*(1-0.76*I14))</f>
        <v>0.2104824095088067</v>
      </c>
    </row>
    <row r="15" spans="1:11" x14ac:dyDescent="0.2">
      <c r="A15" s="9">
        <v>2</v>
      </c>
      <c r="B15" s="9" t="s">
        <v>32</v>
      </c>
      <c r="C15" s="9">
        <v>33</v>
      </c>
      <c r="D15" s="9">
        <v>348</v>
      </c>
      <c r="E15" s="9">
        <v>2256</v>
      </c>
      <c r="F15" s="9">
        <v>154.1</v>
      </c>
      <c r="G15" s="11">
        <f t="shared" si="5"/>
        <v>0.21973094170403587</v>
      </c>
      <c r="H15" s="10">
        <f t="shared" si="6"/>
        <v>0.15568862275449102</v>
      </c>
      <c r="I15" s="11">
        <f t="shared" si="7"/>
        <v>7.7797725912627166E-2</v>
      </c>
      <c r="J15" s="11">
        <f t="shared" si="3"/>
        <v>0.2213741278663498</v>
      </c>
      <c r="K15" s="11">
        <f t="shared" si="8"/>
        <v>1.7776316509562573E-2</v>
      </c>
    </row>
    <row r="16" spans="1:11" x14ac:dyDescent="0.2">
      <c r="A16" s="9">
        <v>2</v>
      </c>
      <c r="B16" s="9" t="s">
        <v>32</v>
      </c>
      <c r="C16" s="9">
        <v>66</v>
      </c>
      <c r="D16" s="9">
        <v>311</v>
      </c>
      <c r="E16" s="9">
        <v>2220</v>
      </c>
      <c r="F16" s="9">
        <v>140.1</v>
      </c>
      <c r="G16" s="11">
        <f t="shared" si="5"/>
        <v>0.30269058295964124</v>
      </c>
      <c r="H16" s="10">
        <f t="shared" si="6"/>
        <v>0.16916167664670659</v>
      </c>
      <c r="I16" s="11">
        <f t="shared" si="7"/>
        <v>0.16157989228007183</v>
      </c>
      <c r="J16" s="11">
        <f t="shared" si="3"/>
        <v>0.30340844343628726</v>
      </c>
      <c r="K16" s="11">
        <f t="shared" si="8"/>
        <v>4.3222965949012315E-2</v>
      </c>
    </row>
    <row r="17" spans="1:11" x14ac:dyDescent="0.2">
      <c r="A17" s="9">
        <v>2</v>
      </c>
      <c r="B17" s="9" t="s">
        <v>32</v>
      </c>
      <c r="C17" s="9">
        <v>100</v>
      </c>
      <c r="D17" s="9">
        <v>240</v>
      </c>
      <c r="E17" s="9">
        <v>2174</v>
      </c>
      <c r="F17" s="9">
        <v>111.2</v>
      </c>
      <c r="G17" s="11">
        <f t="shared" si="5"/>
        <v>0.46188340807174888</v>
      </c>
      <c r="H17" s="10">
        <f t="shared" si="6"/>
        <v>0.18637724550898205</v>
      </c>
      <c r="I17" s="11">
        <f t="shared" si="7"/>
        <v>0.33453022142429678</v>
      </c>
      <c r="J17" s="11">
        <f t="shared" si="3"/>
        <v>0.4585586457247085</v>
      </c>
      <c r="K17" s="11">
        <f t="shared" si="8"/>
        <v>0.11313821793777645</v>
      </c>
    </row>
    <row r="19" spans="1:11" x14ac:dyDescent="0.2">
      <c r="A19" s="14" t="s">
        <v>33</v>
      </c>
      <c r="B19" s="14"/>
      <c r="C19" s="14"/>
      <c r="D19" s="14"/>
      <c r="E19" s="14"/>
      <c r="F19" s="14"/>
      <c r="G19" s="14"/>
      <c r="H19" s="14"/>
      <c r="I19" s="14"/>
    </row>
    <row r="20" spans="1:11" x14ac:dyDescent="0.2">
      <c r="A20" t="s">
        <v>61</v>
      </c>
    </row>
    <row r="22" spans="1:11" x14ac:dyDescent="0.2">
      <c r="A22" t="s">
        <v>62</v>
      </c>
    </row>
    <row r="23" spans="1:11" x14ac:dyDescent="0.2">
      <c r="A23" t="s">
        <v>63</v>
      </c>
    </row>
    <row r="24" spans="1:11" x14ac:dyDescent="0.2">
      <c r="A24" t="s">
        <v>64</v>
      </c>
    </row>
    <row r="25" spans="1:11" x14ac:dyDescent="0.2">
      <c r="A25" t="s">
        <v>65</v>
      </c>
    </row>
  </sheetData>
  <mergeCells count="3">
    <mergeCell ref="A2:I2"/>
    <mergeCell ref="A19:I19"/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Proulx</vt:lpstr>
      <vt:lpstr>Sheet1</vt:lpstr>
      <vt:lpstr>Carrera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Piao, Ximin</dc:creator>
  <cp:lastModifiedBy>Piao, Ximin</cp:lastModifiedBy>
  <dcterms:created xsi:type="dcterms:W3CDTF">2026-05-29T14:40:17Z</dcterms:created>
  <dcterms:modified xsi:type="dcterms:W3CDTF">2026-06-02T14:36:19Z</dcterms:modified>
</cp:coreProperties>
</file>