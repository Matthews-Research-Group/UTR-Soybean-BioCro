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minpiao/Documents/GitHub/UTR-Soybean-BioCro/Data/2022_Carb_data/"/>
    </mc:Choice>
  </mc:AlternateContent>
  <xr:revisionPtr revIDLastSave="0" documentId="13_ncr:9_{A7AD9194-607F-4843-88FD-27DFF0D56160}" xr6:coauthVersionLast="47" xr6:coauthVersionMax="47" xr10:uidLastSave="{00000000-0000-0000-0000-000000000000}"/>
  <bookViews>
    <workbookView xWindow="-4880" yWindow="-14520" windowWidth="26880" windowHeight="14520" activeTab="2" xr2:uid="{3D71B5A5-8708-C847-A3C0-BE85470492FC}"/>
  </bookViews>
  <sheets>
    <sheet name="Stem_all" sheetId="1" r:id="rId1"/>
    <sheet name="C" sheetId="2" r:id="rId2"/>
    <sheet name="D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I3" i="3"/>
  <c r="J3" i="3"/>
  <c r="K3" i="3"/>
  <c r="L3" i="3"/>
  <c r="AA3" i="3" s="1"/>
  <c r="AC3" i="3" s="1"/>
  <c r="M3" i="3"/>
  <c r="N3" i="3"/>
  <c r="O3" i="3"/>
  <c r="P3" i="3"/>
  <c r="Q3" i="3"/>
  <c r="R3" i="3"/>
  <c r="S3" i="3"/>
  <c r="H4" i="3"/>
  <c r="I4" i="3"/>
  <c r="J4" i="3"/>
  <c r="K4" i="3"/>
  <c r="Y4" i="3" s="1"/>
  <c r="L4" i="3"/>
  <c r="M4" i="3"/>
  <c r="N4" i="3"/>
  <c r="O4" i="3"/>
  <c r="P4" i="3"/>
  <c r="Q4" i="3"/>
  <c r="R4" i="3"/>
  <c r="S4" i="3"/>
  <c r="H5" i="3"/>
  <c r="I5" i="3"/>
  <c r="J5" i="3"/>
  <c r="K5" i="3"/>
  <c r="L5" i="3"/>
  <c r="M5" i="3"/>
  <c r="N5" i="3"/>
  <c r="O5" i="3"/>
  <c r="Y5" i="3" s="1"/>
  <c r="P5" i="3"/>
  <c r="Q5" i="3"/>
  <c r="R5" i="3"/>
  <c r="S5" i="3"/>
  <c r="H6" i="3"/>
  <c r="I6" i="3"/>
  <c r="J6" i="3"/>
  <c r="AA6" i="3" s="1"/>
  <c r="K6" i="3"/>
  <c r="L6" i="3"/>
  <c r="M6" i="3"/>
  <c r="N6" i="3"/>
  <c r="O6" i="3"/>
  <c r="P6" i="3"/>
  <c r="Q6" i="3"/>
  <c r="R6" i="3"/>
  <c r="S6" i="3"/>
  <c r="H7" i="3"/>
  <c r="I7" i="3"/>
  <c r="J7" i="3"/>
  <c r="K7" i="3"/>
  <c r="L7" i="3"/>
  <c r="M7" i="3"/>
  <c r="N7" i="3"/>
  <c r="O7" i="3"/>
  <c r="P7" i="3"/>
  <c r="Q7" i="3"/>
  <c r="R7" i="3"/>
  <c r="S7" i="3"/>
  <c r="H8" i="3"/>
  <c r="AA8" i="3" s="1"/>
  <c r="I8" i="3"/>
  <c r="Y8" i="3" s="1"/>
  <c r="J8" i="3"/>
  <c r="K8" i="3"/>
  <c r="L8" i="3"/>
  <c r="M8" i="3"/>
  <c r="N8" i="3"/>
  <c r="O8" i="3"/>
  <c r="P8" i="3"/>
  <c r="Q8" i="3"/>
  <c r="R8" i="3"/>
  <c r="S8" i="3"/>
  <c r="H9" i="3"/>
  <c r="I9" i="3"/>
  <c r="J9" i="3"/>
  <c r="K9" i="3"/>
  <c r="L9" i="3"/>
  <c r="AA9" i="3" s="1"/>
  <c r="AC9" i="3" s="1"/>
  <c r="M9" i="3"/>
  <c r="N9" i="3"/>
  <c r="O9" i="3"/>
  <c r="P9" i="3"/>
  <c r="Q9" i="3"/>
  <c r="R9" i="3"/>
  <c r="S9" i="3"/>
  <c r="H10" i="3"/>
  <c r="AA10" i="3" s="1"/>
  <c r="I10" i="3"/>
  <c r="J10" i="3"/>
  <c r="K10" i="3"/>
  <c r="L10" i="3"/>
  <c r="M10" i="3"/>
  <c r="N10" i="3"/>
  <c r="O10" i="3"/>
  <c r="P10" i="3"/>
  <c r="Q10" i="3"/>
  <c r="R10" i="3"/>
  <c r="S10" i="3"/>
  <c r="H11" i="3"/>
  <c r="I11" i="3"/>
  <c r="J11" i="3"/>
  <c r="K11" i="3"/>
  <c r="L11" i="3"/>
  <c r="M11" i="3"/>
  <c r="N11" i="3"/>
  <c r="O11" i="3"/>
  <c r="Y11" i="3" s="1"/>
  <c r="P11" i="3"/>
  <c r="Q11" i="3"/>
  <c r="R11" i="3"/>
  <c r="S11" i="3"/>
  <c r="H12" i="3"/>
  <c r="I12" i="3"/>
  <c r="J12" i="3"/>
  <c r="K12" i="3"/>
  <c r="Y12" i="3" s="1"/>
  <c r="L12" i="3"/>
  <c r="M12" i="3"/>
  <c r="N12" i="3"/>
  <c r="O12" i="3"/>
  <c r="P12" i="3"/>
  <c r="Q12" i="3"/>
  <c r="R12" i="3"/>
  <c r="S12" i="3"/>
  <c r="H13" i="3"/>
  <c r="I13" i="3"/>
  <c r="J13" i="3"/>
  <c r="K13" i="3"/>
  <c r="L13" i="3"/>
  <c r="M13" i="3"/>
  <c r="Y13" i="3" s="1"/>
  <c r="Z13" i="3" s="1"/>
  <c r="N13" i="3"/>
  <c r="O13" i="3"/>
  <c r="P13" i="3"/>
  <c r="Q13" i="3"/>
  <c r="R13" i="3"/>
  <c r="S13" i="3"/>
  <c r="H14" i="3"/>
  <c r="AA14" i="3" s="1"/>
  <c r="I14" i="3"/>
  <c r="J14" i="3"/>
  <c r="K14" i="3"/>
  <c r="L14" i="3"/>
  <c r="M14" i="3"/>
  <c r="N14" i="3"/>
  <c r="O14" i="3"/>
  <c r="P14" i="3"/>
  <c r="Q14" i="3"/>
  <c r="R14" i="3"/>
  <c r="S14" i="3"/>
  <c r="H15" i="3"/>
  <c r="I15" i="3"/>
  <c r="J15" i="3"/>
  <c r="K15" i="3"/>
  <c r="L15" i="3"/>
  <c r="M15" i="3"/>
  <c r="N15" i="3"/>
  <c r="O15" i="3"/>
  <c r="P15" i="3"/>
  <c r="Q15" i="3"/>
  <c r="R15" i="3"/>
  <c r="S15" i="3"/>
  <c r="H16" i="3"/>
  <c r="I16" i="3"/>
  <c r="Y16" i="3" s="1"/>
  <c r="J16" i="3"/>
  <c r="AA16" i="3" s="1"/>
  <c r="AC16" i="3" s="1"/>
  <c r="K16" i="3"/>
  <c r="L16" i="3"/>
  <c r="M16" i="3"/>
  <c r="N16" i="3"/>
  <c r="O16" i="3"/>
  <c r="P16" i="3"/>
  <c r="Q16" i="3"/>
  <c r="R16" i="3"/>
  <c r="S16" i="3"/>
  <c r="H17" i="3"/>
  <c r="I17" i="3"/>
  <c r="J17" i="3"/>
  <c r="K17" i="3"/>
  <c r="L17" i="3"/>
  <c r="M17" i="3"/>
  <c r="N17" i="3"/>
  <c r="O17" i="3"/>
  <c r="P17" i="3"/>
  <c r="Q17" i="3"/>
  <c r="R17" i="3"/>
  <c r="S17" i="3"/>
  <c r="H18" i="3"/>
  <c r="I18" i="3"/>
  <c r="J18" i="3"/>
  <c r="AA18" i="3" s="1"/>
  <c r="K18" i="3"/>
  <c r="L18" i="3"/>
  <c r="M18" i="3"/>
  <c r="N18" i="3"/>
  <c r="O18" i="3"/>
  <c r="P18" i="3"/>
  <c r="Q18" i="3"/>
  <c r="R18" i="3"/>
  <c r="S18" i="3"/>
  <c r="I2" i="3"/>
  <c r="J2" i="3"/>
  <c r="K2" i="3"/>
  <c r="L2" i="3"/>
  <c r="AA2" i="3" s="1"/>
  <c r="M2" i="3"/>
  <c r="N2" i="3"/>
  <c r="O2" i="3"/>
  <c r="P2" i="3"/>
  <c r="Q2" i="3"/>
  <c r="R2" i="3"/>
  <c r="S2" i="3"/>
  <c r="H2" i="3"/>
  <c r="Y17" i="3"/>
  <c r="Y9" i="3"/>
  <c r="Y3" i="3"/>
  <c r="AH3" i="2"/>
  <c r="AH4" i="2"/>
  <c r="AH5" i="2"/>
  <c r="AH19" i="2" s="1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2" i="2"/>
  <c r="AD19" i="2"/>
  <c r="AE18" i="2"/>
  <c r="AC18" i="2"/>
  <c r="AD18" i="2"/>
  <c r="AB18" i="2"/>
  <c r="Z18" i="2"/>
  <c r="AA18" i="2"/>
  <c r="Y18" i="2"/>
  <c r="Y2" i="2"/>
  <c r="AA17" i="2"/>
  <c r="AC17" i="2" s="1"/>
  <c r="Y17" i="2"/>
  <c r="AD17" i="2" s="1"/>
  <c r="AE17" i="2" s="1"/>
  <c r="AF17" i="2" s="1"/>
  <c r="AA16" i="2"/>
  <c r="AC16" i="2" s="1"/>
  <c r="Y16" i="2"/>
  <c r="Z16" i="2" s="1"/>
  <c r="AB16" i="2" s="1"/>
  <c r="AA15" i="2"/>
  <c r="AC15" i="2" s="1"/>
  <c r="Y15" i="2"/>
  <c r="AD15" i="2" s="1"/>
  <c r="AE15" i="2" s="1"/>
  <c r="AF15" i="2" s="1"/>
  <c r="AA14" i="2"/>
  <c r="AC14" i="2" s="1"/>
  <c r="Y14" i="2"/>
  <c r="AD14" i="2" s="1"/>
  <c r="AE14" i="2" s="1"/>
  <c r="AF14" i="2" s="1"/>
  <c r="AA13" i="2"/>
  <c r="AC13" i="2" s="1"/>
  <c r="Y13" i="2"/>
  <c r="AD13" i="2" s="1"/>
  <c r="AE13" i="2" s="1"/>
  <c r="AF13" i="2" s="1"/>
  <c r="AA12" i="2"/>
  <c r="AC12" i="2" s="1"/>
  <c r="Y12" i="2"/>
  <c r="Z12" i="2" s="1"/>
  <c r="AB12" i="2" s="1"/>
  <c r="AA11" i="2"/>
  <c r="AC11" i="2" s="1"/>
  <c r="Y11" i="2"/>
  <c r="AD11" i="2" s="1"/>
  <c r="AE11" i="2" s="1"/>
  <c r="AF11" i="2" s="1"/>
  <c r="AA10" i="2"/>
  <c r="AC10" i="2" s="1"/>
  <c r="Y10" i="2"/>
  <c r="AD10" i="2" s="1"/>
  <c r="AE10" i="2" s="1"/>
  <c r="AF10" i="2" s="1"/>
  <c r="AA9" i="2"/>
  <c r="AC9" i="2" s="1"/>
  <c r="Y9" i="2"/>
  <c r="AD9" i="2" s="1"/>
  <c r="AE9" i="2" s="1"/>
  <c r="AF9" i="2" s="1"/>
  <c r="AA8" i="2"/>
  <c r="AC8" i="2" s="1"/>
  <c r="Y8" i="2"/>
  <c r="Z8" i="2" s="1"/>
  <c r="AB8" i="2" s="1"/>
  <c r="AA7" i="2"/>
  <c r="AC7" i="2" s="1"/>
  <c r="Y7" i="2"/>
  <c r="Z7" i="2" s="1"/>
  <c r="AB7" i="2" s="1"/>
  <c r="AA6" i="2"/>
  <c r="AC6" i="2" s="1"/>
  <c r="Y6" i="2"/>
  <c r="AD6" i="2" s="1"/>
  <c r="AE6" i="2" s="1"/>
  <c r="AF6" i="2" s="1"/>
  <c r="AA5" i="2"/>
  <c r="AC5" i="2" s="1"/>
  <c r="Y5" i="2"/>
  <c r="AD5" i="2" s="1"/>
  <c r="AE5" i="2" s="1"/>
  <c r="AF5" i="2" s="1"/>
  <c r="AA4" i="2"/>
  <c r="AC4" i="2" s="1"/>
  <c r="Y4" i="2"/>
  <c r="AD4" i="2" s="1"/>
  <c r="AE4" i="2" s="1"/>
  <c r="AF4" i="2" s="1"/>
  <c r="AA3" i="2"/>
  <c r="AC3" i="2" s="1"/>
  <c r="Y3" i="2"/>
  <c r="AD3" i="2" s="1"/>
  <c r="AE3" i="2" s="1"/>
  <c r="AF3" i="2" s="1"/>
  <c r="AA2" i="2"/>
  <c r="AC2" i="2" s="1"/>
  <c r="AD2" i="2"/>
  <c r="AE2" i="2" s="1"/>
  <c r="AF2" i="2" s="1"/>
  <c r="H3" i="2"/>
  <c r="I3" i="2"/>
  <c r="J3" i="2"/>
  <c r="K3" i="2"/>
  <c r="L3" i="2"/>
  <c r="M3" i="2"/>
  <c r="N3" i="2"/>
  <c r="O3" i="2"/>
  <c r="P3" i="2"/>
  <c r="Q3" i="2"/>
  <c r="R3" i="2"/>
  <c r="S3" i="2"/>
  <c r="H4" i="2"/>
  <c r="I4" i="2"/>
  <c r="J4" i="2"/>
  <c r="K4" i="2"/>
  <c r="L4" i="2"/>
  <c r="M4" i="2"/>
  <c r="N4" i="2"/>
  <c r="O4" i="2"/>
  <c r="P4" i="2"/>
  <c r="Q4" i="2"/>
  <c r="R4" i="2"/>
  <c r="S4" i="2"/>
  <c r="H5" i="2"/>
  <c r="I5" i="2"/>
  <c r="J5" i="2"/>
  <c r="K5" i="2"/>
  <c r="L5" i="2"/>
  <c r="M5" i="2"/>
  <c r="N5" i="2"/>
  <c r="O5" i="2"/>
  <c r="P5" i="2"/>
  <c r="Q5" i="2"/>
  <c r="R5" i="2"/>
  <c r="S5" i="2"/>
  <c r="H6" i="2"/>
  <c r="I6" i="2"/>
  <c r="J6" i="2"/>
  <c r="K6" i="2"/>
  <c r="L6" i="2"/>
  <c r="M6" i="2"/>
  <c r="N6" i="2"/>
  <c r="O6" i="2"/>
  <c r="P6" i="2"/>
  <c r="Q6" i="2"/>
  <c r="R6" i="2"/>
  <c r="S6" i="2"/>
  <c r="H7" i="2"/>
  <c r="I7" i="2"/>
  <c r="J7" i="2"/>
  <c r="K7" i="2"/>
  <c r="L7" i="2"/>
  <c r="M7" i="2"/>
  <c r="N7" i="2"/>
  <c r="O7" i="2"/>
  <c r="P7" i="2"/>
  <c r="Q7" i="2"/>
  <c r="R7" i="2"/>
  <c r="S7" i="2"/>
  <c r="H8" i="2"/>
  <c r="I8" i="2"/>
  <c r="J8" i="2"/>
  <c r="K8" i="2"/>
  <c r="L8" i="2"/>
  <c r="M8" i="2"/>
  <c r="N8" i="2"/>
  <c r="O8" i="2"/>
  <c r="P8" i="2"/>
  <c r="Q8" i="2"/>
  <c r="R8" i="2"/>
  <c r="S8" i="2"/>
  <c r="H9" i="2"/>
  <c r="I9" i="2"/>
  <c r="J9" i="2"/>
  <c r="K9" i="2"/>
  <c r="L9" i="2"/>
  <c r="M9" i="2"/>
  <c r="N9" i="2"/>
  <c r="O9" i="2"/>
  <c r="P9" i="2"/>
  <c r="Q9" i="2"/>
  <c r="R9" i="2"/>
  <c r="S9" i="2"/>
  <c r="H10" i="2"/>
  <c r="I10" i="2"/>
  <c r="J10" i="2"/>
  <c r="K10" i="2"/>
  <c r="L10" i="2"/>
  <c r="M10" i="2"/>
  <c r="N10" i="2"/>
  <c r="O10" i="2"/>
  <c r="P10" i="2"/>
  <c r="Q10" i="2"/>
  <c r="R10" i="2"/>
  <c r="S10" i="2"/>
  <c r="H11" i="2"/>
  <c r="I11" i="2"/>
  <c r="J11" i="2"/>
  <c r="K11" i="2"/>
  <c r="L11" i="2"/>
  <c r="M11" i="2"/>
  <c r="N11" i="2"/>
  <c r="O11" i="2"/>
  <c r="P11" i="2"/>
  <c r="Q11" i="2"/>
  <c r="R11" i="2"/>
  <c r="S11" i="2"/>
  <c r="H12" i="2"/>
  <c r="I12" i="2"/>
  <c r="J12" i="2"/>
  <c r="K12" i="2"/>
  <c r="L12" i="2"/>
  <c r="M12" i="2"/>
  <c r="N12" i="2"/>
  <c r="O12" i="2"/>
  <c r="P12" i="2"/>
  <c r="Q12" i="2"/>
  <c r="R12" i="2"/>
  <c r="S12" i="2"/>
  <c r="H13" i="2"/>
  <c r="I13" i="2"/>
  <c r="J13" i="2"/>
  <c r="K13" i="2"/>
  <c r="L13" i="2"/>
  <c r="M13" i="2"/>
  <c r="N13" i="2"/>
  <c r="O13" i="2"/>
  <c r="P13" i="2"/>
  <c r="Q13" i="2"/>
  <c r="R13" i="2"/>
  <c r="S13" i="2"/>
  <c r="H14" i="2"/>
  <c r="I14" i="2"/>
  <c r="J14" i="2"/>
  <c r="K14" i="2"/>
  <c r="L14" i="2"/>
  <c r="M14" i="2"/>
  <c r="N14" i="2"/>
  <c r="O14" i="2"/>
  <c r="P14" i="2"/>
  <c r="Q14" i="2"/>
  <c r="R14" i="2"/>
  <c r="S14" i="2"/>
  <c r="H15" i="2"/>
  <c r="I15" i="2"/>
  <c r="J15" i="2"/>
  <c r="K15" i="2"/>
  <c r="L15" i="2"/>
  <c r="M15" i="2"/>
  <c r="N15" i="2"/>
  <c r="O15" i="2"/>
  <c r="P15" i="2"/>
  <c r="Q15" i="2"/>
  <c r="R15" i="2"/>
  <c r="S15" i="2"/>
  <c r="H16" i="2"/>
  <c r="I16" i="2"/>
  <c r="J16" i="2"/>
  <c r="K16" i="2"/>
  <c r="L16" i="2"/>
  <c r="M16" i="2"/>
  <c r="N16" i="2"/>
  <c r="O16" i="2"/>
  <c r="P16" i="2"/>
  <c r="Q16" i="2"/>
  <c r="R16" i="2"/>
  <c r="S16" i="2"/>
  <c r="H17" i="2"/>
  <c r="I17" i="2"/>
  <c r="J17" i="2"/>
  <c r="K17" i="2"/>
  <c r="L17" i="2"/>
  <c r="M17" i="2"/>
  <c r="N17" i="2"/>
  <c r="O17" i="2"/>
  <c r="P17" i="2"/>
  <c r="Q17" i="2"/>
  <c r="R17" i="2"/>
  <c r="S17" i="2"/>
  <c r="H18" i="2"/>
  <c r="I18" i="2"/>
  <c r="J18" i="2"/>
  <c r="K18" i="2"/>
  <c r="L18" i="2"/>
  <c r="M18" i="2"/>
  <c r="N18" i="2"/>
  <c r="O18" i="2"/>
  <c r="P18" i="2"/>
  <c r="Q18" i="2"/>
  <c r="R18" i="2"/>
  <c r="S18" i="2"/>
  <c r="I2" i="2"/>
  <c r="J2" i="2"/>
  <c r="K2" i="2"/>
  <c r="L2" i="2"/>
  <c r="M2" i="2"/>
  <c r="N2" i="2"/>
  <c r="O2" i="2"/>
  <c r="P2" i="2"/>
  <c r="Q2" i="2"/>
  <c r="R2" i="2"/>
  <c r="S2" i="2"/>
  <c r="H2" i="2"/>
  <c r="AC8" i="3" l="1"/>
  <c r="Z8" i="3"/>
  <c r="AB8" i="3" s="1"/>
  <c r="Z16" i="3"/>
  <c r="AD3" i="3"/>
  <c r="AB16" i="3"/>
  <c r="AA17" i="3"/>
  <c r="AC17" i="3" s="1"/>
  <c r="Z4" i="3"/>
  <c r="AB4" i="3" s="1"/>
  <c r="AC10" i="3"/>
  <c r="Z12" i="3"/>
  <c r="AB12" i="3" s="1"/>
  <c r="AD8" i="3"/>
  <c r="AE8" i="3" s="1"/>
  <c r="AF8" i="3" s="1"/>
  <c r="Z5" i="3"/>
  <c r="AB5" i="3" s="1"/>
  <c r="AE3" i="3"/>
  <c r="AF3" i="3" s="1"/>
  <c r="AC6" i="3"/>
  <c r="AD9" i="3"/>
  <c r="AE9" i="3" s="1"/>
  <c r="AF9" i="3" s="1"/>
  <c r="Z9" i="3"/>
  <c r="AB9" i="3" s="1"/>
  <c r="AB13" i="3"/>
  <c r="AD16" i="3"/>
  <c r="Z17" i="3"/>
  <c r="AB17" i="3" s="1"/>
  <c r="Z3" i="3"/>
  <c r="AB3" i="3" s="1"/>
  <c r="Z11" i="3"/>
  <c r="AB11" i="3" s="1"/>
  <c r="AA7" i="3"/>
  <c r="AA15" i="3"/>
  <c r="AC15" i="3" s="1"/>
  <c r="AA4" i="3"/>
  <c r="AC4" i="3" s="1"/>
  <c r="Y6" i="3"/>
  <c r="AA12" i="3"/>
  <c r="AC12" i="3" s="1"/>
  <c r="Y14" i="3"/>
  <c r="AE16" i="3"/>
  <c r="AF16" i="3" s="1"/>
  <c r="AE18" i="3"/>
  <c r="AF18" i="3" s="1"/>
  <c r="AE10" i="3"/>
  <c r="AF10" i="3" s="1"/>
  <c r="AA11" i="3"/>
  <c r="AC11" i="3" s="1"/>
  <c r="Y2" i="3"/>
  <c r="AD2" i="3" s="1"/>
  <c r="AE2" i="3" s="1"/>
  <c r="AF2" i="3" s="1"/>
  <c r="Y10" i="3"/>
  <c r="AD10" i="3" s="1"/>
  <c r="Y18" i="3"/>
  <c r="AD18" i="3" s="1"/>
  <c r="AA5" i="3"/>
  <c r="AC5" i="3" s="1"/>
  <c r="Y7" i="3"/>
  <c r="AA13" i="3"/>
  <c r="AC13" i="3" s="1"/>
  <c r="Y15" i="3"/>
  <c r="Z15" i="3" s="1"/>
  <c r="AB15" i="3" s="1"/>
  <c r="AF18" i="2"/>
  <c r="Z3" i="2"/>
  <c r="AB3" i="2" s="1"/>
  <c r="Z9" i="2"/>
  <c r="AB9" i="2" s="1"/>
  <c r="Z13" i="2"/>
  <c r="AB13" i="2" s="1"/>
  <c r="Z2" i="2"/>
  <c r="AB2" i="2" s="1"/>
  <c r="Z6" i="2"/>
  <c r="AB6" i="2" s="1"/>
  <c r="Z10" i="2"/>
  <c r="AB10" i="2" s="1"/>
  <c r="Z14" i="2"/>
  <c r="AB14" i="2" s="1"/>
  <c r="Z4" i="2"/>
  <c r="AB4" i="2" s="1"/>
  <c r="Z11" i="2"/>
  <c r="AB11" i="2" s="1"/>
  <c r="Z17" i="2"/>
  <c r="AB17" i="2" s="1"/>
  <c r="Z5" i="2"/>
  <c r="AB5" i="2" s="1"/>
  <c r="Z15" i="2"/>
  <c r="AB15" i="2" s="1"/>
  <c r="AD7" i="2"/>
  <c r="AE7" i="2" s="1"/>
  <c r="AF7" i="2" s="1"/>
  <c r="AD8" i="2"/>
  <c r="AE8" i="2" s="1"/>
  <c r="AF8" i="2" s="1"/>
  <c r="AD12" i="2"/>
  <c r="AE12" i="2" s="1"/>
  <c r="AF12" i="2" s="1"/>
  <c r="AD16" i="2"/>
  <c r="AE16" i="2" s="1"/>
  <c r="AF16" i="2" s="1"/>
  <c r="Z18" i="3" l="1"/>
  <c r="AB18" i="3" s="1"/>
  <c r="AD7" i="3"/>
  <c r="AE7" i="3" s="1"/>
  <c r="AF7" i="3" s="1"/>
  <c r="AD17" i="3"/>
  <c r="AE17" i="3" s="1"/>
  <c r="AF17" i="3" s="1"/>
  <c r="AD11" i="3"/>
  <c r="AE11" i="3" s="1"/>
  <c r="AF11" i="3" s="1"/>
  <c r="AC2" i="3"/>
  <c r="AD4" i="3"/>
  <c r="AD6" i="3"/>
  <c r="AE6" i="3" s="1"/>
  <c r="AF6" i="3" s="1"/>
  <c r="Z6" i="3"/>
  <c r="AB6" i="3" s="1"/>
  <c r="AD14" i="3"/>
  <c r="AE14" i="3" s="1"/>
  <c r="AF14" i="3" s="1"/>
  <c r="Z14" i="3"/>
  <c r="AB14" i="3" s="1"/>
  <c r="AC14" i="3"/>
  <c r="AD15" i="3"/>
  <c r="AE15" i="3" s="1"/>
  <c r="AF15" i="3" s="1"/>
  <c r="AD12" i="3"/>
  <c r="AE12" i="3" s="1"/>
  <c r="AF12" i="3" s="1"/>
  <c r="Z10" i="3"/>
  <c r="AB10" i="3" s="1"/>
  <c r="Z2" i="3"/>
  <c r="AB2" i="3" s="1"/>
  <c r="AD5" i="3"/>
  <c r="AE5" i="3" s="1"/>
  <c r="AF5" i="3" s="1"/>
  <c r="AC18" i="3"/>
  <c r="AC7" i="3"/>
  <c r="Z7" i="3"/>
  <c r="AB7" i="3" s="1"/>
  <c r="AD13" i="3"/>
  <c r="AE13" i="3" s="1"/>
  <c r="AF13" i="3" s="1"/>
  <c r="AD19" i="3" l="1"/>
  <c r="AE4" i="3"/>
  <c r="AF4" i="3" s="1"/>
  <c r="AH16" i="3" l="1"/>
  <c r="AH8" i="3"/>
  <c r="AH11" i="3"/>
  <c r="AH9" i="3"/>
  <c r="AH3" i="3"/>
  <c r="AH5" i="3"/>
  <c r="AH10" i="3"/>
  <c r="AH14" i="3"/>
  <c r="AH13" i="3"/>
  <c r="AH18" i="3"/>
  <c r="AH4" i="3"/>
  <c r="AH17" i="3"/>
  <c r="AH12" i="3"/>
  <c r="AH15" i="3"/>
  <c r="AH7" i="3"/>
  <c r="AH6" i="3"/>
  <c r="AH2" i="3"/>
  <c r="AH19" i="3" l="1"/>
</calcChain>
</file>

<file path=xl/sharedStrings.xml><?xml version="1.0" encoding="utf-8"?>
<sst xmlns="http://schemas.openxmlformats.org/spreadsheetml/2006/main" count="144" uniqueCount="39">
  <si>
    <t>Sample ID</t>
  </si>
  <si>
    <t>Hour</t>
  </si>
  <si>
    <t>DOY</t>
  </si>
  <si>
    <t>hour</t>
  </si>
  <si>
    <t>time</t>
  </si>
  <si>
    <t>Date</t>
  </si>
  <si>
    <t>DOY_date</t>
  </si>
  <si>
    <t>GFS_1</t>
  </si>
  <si>
    <t>Starch_1</t>
  </si>
  <si>
    <t>GFS_2</t>
  </si>
  <si>
    <t>Starch_2</t>
  </si>
  <si>
    <t>GFS_3</t>
  </si>
  <si>
    <t>Starch_3</t>
  </si>
  <si>
    <t>GFS_4</t>
  </si>
  <si>
    <t>Starch_4</t>
  </si>
  <si>
    <t>Carb_tot_1</t>
  </si>
  <si>
    <t>Carb_tot_2</t>
  </si>
  <si>
    <t>Carb_tot_3</t>
  </si>
  <si>
    <t>Carb_tot_4</t>
  </si>
  <si>
    <t>Valid_1</t>
  </si>
  <si>
    <t>Valid_2</t>
  </si>
  <si>
    <t>Valid_3</t>
  </si>
  <si>
    <t>Valid_4</t>
  </si>
  <si>
    <t>Total valid</t>
  </si>
  <si>
    <t>Carb_total_mean</t>
  </si>
  <si>
    <t>Carb_total_std</t>
  </si>
  <si>
    <t>Carb_CV</t>
  </si>
  <si>
    <t>DOY 186: 07/05</t>
  </si>
  <si>
    <t>DOY 187: 07/06</t>
  </si>
  <si>
    <t>DOY 209: 07/28</t>
  </si>
  <si>
    <t>DOY 236: 08/24</t>
  </si>
  <si>
    <t>DOY 258: 09/15</t>
  </si>
  <si>
    <t>DOY 278: 10/05</t>
  </si>
  <si>
    <t>Starch_mean</t>
  </si>
  <si>
    <t>Starch_std</t>
  </si>
  <si>
    <t>GFS_mean</t>
  </si>
  <si>
    <t>GFS_std</t>
  </si>
  <si>
    <t>GFS%</t>
  </si>
  <si>
    <t>Total_std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</si>
</sst>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20" fontId="0" fillId="0" borderId="0" xfId="0" applyNumberFormat="1"/>
    <xf numFmtId="9" fontId="0" fillId="0" borderId="0" xfId="0" applyNumberFormat="1"/>
    <xf numFmtId="2" fontId="0" fillId="0" borderId="0" xfId="0" applyNumberFormat="1"/>
    <xf numFmtId="165" fontId="0" fillId="33" borderId="0" xfId="0" applyNumberFormat="1" applyFill="1"/>
    <xf numFmtId="9" fontId="0" fillId="33" borderId="0" xfId="0" applyNumberFormat="1" applyFill="1"/>
    <xf numFmtId="9" fontId="0" fillId="33" borderId="0" xfId="1" applyFont="1" applyFill="1"/>
    <xf numFmtId="165" fontId="0" fillId="34" borderId="0" xfId="0" applyNumberFormat="1" applyFill="1"/>
    <xf numFmtId="9" fontId="0" fillId="34" borderId="0" xfId="0" applyNumberFormat="1" applyFill="1"/>
    <xf numFmtId="9" fontId="0" fillId="34" borderId="0" xfId="1" applyFont="1" applyFill="1"/>
    <xf numFmtId="165" fontId="0" fillId="35" borderId="0" xfId="0" applyNumberFormat="1" applyFill="1"/>
    <xf numFmtId="9" fontId="0" fillId="35" borderId="0" xfId="0" applyNumberFormat="1" applyFill="1"/>
    <xf numFmtId="9" fontId="0" fillId="35" borderId="0" xfId="1" applyFont="1" applyFill="1"/>
    <xf numFmtId="165" fontId="0" fillId="36" borderId="0" xfId="0" applyNumberFormat="1" applyFill="1"/>
    <xf numFmtId="9" fontId="0" fillId="36" borderId="0" xfId="0" applyNumberFormat="1" applyFill="1"/>
    <xf numFmtId="9" fontId="0" fillId="36" borderId="0" xfId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9E15-4037-3F43-AC7F-4282C1E8E58E}">
  <dimension ref="A1:AA18"/>
  <sheetViews>
    <sheetView workbookViewId="0">
      <selection sqref="A1:XFD1048576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1">
        <v>37196</v>
      </c>
      <c r="B2" s="2">
        <v>0.41666666666666669</v>
      </c>
      <c r="C2">
        <v>186</v>
      </c>
      <c r="D2">
        <v>11</v>
      </c>
      <c r="E2">
        <v>186.45833300000001</v>
      </c>
      <c r="F2" s="1">
        <v>44747</v>
      </c>
      <c r="G2" t="s">
        <v>27</v>
      </c>
      <c r="H2">
        <v>357.7</v>
      </c>
      <c r="I2">
        <v>56.9</v>
      </c>
      <c r="J2">
        <v>465.2</v>
      </c>
      <c r="K2">
        <v>563.5</v>
      </c>
      <c r="L2">
        <v>976.9</v>
      </c>
      <c r="M2">
        <v>178.9</v>
      </c>
      <c r="N2">
        <v>326.10000000000002</v>
      </c>
      <c r="O2">
        <v>32.299999999999997</v>
      </c>
      <c r="P2">
        <v>414.7</v>
      </c>
      <c r="Q2">
        <v>1028.8</v>
      </c>
      <c r="R2">
        <v>1155.8</v>
      </c>
      <c r="S2">
        <v>358.4</v>
      </c>
      <c r="T2">
        <v>1</v>
      </c>
      <c r="U2">
        <v>1</v>
      </c>
      <c r="V2">
        <v>0</v>
      </c>
      <c r="W2">
        <v>1</v>
      </c>
      <c r="X2">
        <v>3</v>
      </c>
      <c r="Y2">
        <v>600.6</v>
      </c>
      <c r="Z2">
        <v>303.60000000000002</v>
      </c>
      <c r="AA2" s="3">
        <v>0.51</v>
      </c>
    </row>
    <row r="3" spans="1:27" x14ac:dyDescent="0.2">
      <c r="A3" s="1">
        <v>37561</v>
      </c>
      <c r="B3" s="2">
        <v>0.54166666666666663</v>
      </c>
      <c r="C3">
        <v>186</v>
      </c>
      <c r="D3">
        <v>14</v>
      </c>
      <c r="E3">
        <v>186.58333300000001</v>
      </c>
      <c r="F3" s="1">
        <v>44747</v>
      </c>
      <c r="G3" t="s">
        <v>27</v>
      </c>
      <c r="H3">
        <v>452</v>
      </c>
      <c r="I3">
        <v>185.3</v>
      </c>
      <c r="J3">
        <v>170.2</v>
      </c>
      <c r="K3">
        <v>225.4</v>
      </c>
      <c r="L3">
        <v>285.2</v>
      </c>
      <c r="M3">
        <v>108</v>
      </c>
      <c r="N3">
        <v>235.5</v>
      </c>
      <c r="O3">
        <v>77.2</v>
      </c>
      <c r="P3">
        <v>637.29999999999995</v>
      </c>
      <c r="Q3">
        <v>395.6</v>
      </c>
      <c r="R3">
        <v>393.2</v>
      </c>
      <c r="S3">
        <v>312.7</v>
      </c>
      <c r="T3">
        <v>1</v>
      </c>
      <c r="U3">
        <v>0</v>
      </c>
      <c r="V3">
        <v>0</v>
      </c>
      <c r="W3">
        <v>1</v>
      </c>
      <c r="X3">
        <v>2</v>
      </c>
      <c r="Y3">
        <v>475</v>
      </c>
      <c r="Z3">
        <v>162.30000000000001</v>
      </c>
      <c r="AA3" s="3">
        <v>0.34</v>
      </c>
    </row>
    <row r="4" spans="1:27" x14ac:dyDescent="0.2">
      <c r="A4" s="1">
        <v>37926</v>
      </c>
      <c r="B4" s="2">
        <v>0.66666666666666663</v>
      </c>
      <c r="C4">
        <v>186</v>
      </c>
      <c r="D4">
        <v>17</v>
      </c>
      <c r="E4">
        <v>186.70833300000001</v>
      </c>
      <c r="F4" s="1">
        <v>44747</v>
      </c>
      <c r="G4" t="s">
        <v>27</v>
      </c>
      <c r="H4">
        <v>318.39999999999998</v>
      </c>
      <c r="I4">
        <v>40.4</v>
      </c>
      <c r="J4">
        <v>340.3</v>
      </c>
      <c r="K4">
        <v>181.5</v>
      </c>
      <c r="L4">
        <v>149.69999999999999</v>
      </c>
      <c r="M4">
        <v>479.1</v>
      </c>
      <c r="N4">
        <v>162.19999999999999</v>
      </c>
      <c r="O4">
        <v>177.5</v>
      </c>
      <c r="P4">
        <v>358.8</v>
      </c>
      <c r="Q4">
        <v>521.79999999999995</v>
      </c>
      <c r="R4">
        <v>628.79999999999995</v>
      </c>
      <c r="S4">
        <v>339.7</v>
      </c>
      <c r="T4">
        <v>1</v>
      </c>
      <c r="U4">
        <v>1</v>
      </c>
      <c r="V4">
        <v>0</v>
      </c>
      <c r="W4">
        <v>1</v>
      </c>
      <c r="X4">
        <v>3</v>
      </c>
      <c r="Y4">
        <v>406.8</v>
      </c>
      <c r="Z4">
        <v>81.7</v>
      </c>
      <c r="AA4" s="3">
        <v>0.2</v>
      </c>
    </row>
    <row r="5" spans="1:27" x14ac:dyDescent="0.2">
      <c r="A5" s="1">
        <v>38292</v>
      </c>
      <c r="B5" s="2">
        <v>0.79166666666666663</v>
      </c>
      <c r="C5">
        <v>186</v>
      </c>
      <c r="D5">
        <v>20</v>
      </c>
      <c r="E5">
        <v>186.83333300000001</v>
      </c>
      <c r="F5" s="1">
        <v>44747</v>
      </c>
      <c r="G5" t="s">
        <v>27</v>
      </c>
      <c r="H5">
        <v>230.6</v>
      </c>
      <c r="I5">
        <v>213.3</v>
      </c>
      <c r="J5">
        <v>233.2</v>
      </c>
      <c r="K5">
        <v>130.1</v>
      </c>
      <c r="L5">
        <v>478.2</v>
      </c>
      <c r="M5">
        <v>411.4</v>
      </c>
      <c r="N5">
        <v>189</v>
      </c>
      <c r="O5">
        <v>46.8</v>
      </c>
      <c r="P5">
        <v>443.9</v>
      </c>
      <c r="Q5">
        <v>363.3</v>
      </c>
      <c r="R5">
        <v>889.6</v>
      </c>
      <c r="S5">
        <v>235.8</v>
      </c>
      <c r="T5">
        <v>1</v>
      </c>
      <c r="U5">
        <v>1</v>
      </c>
      <c r="V5">
        <v>0</v>
      </c>
      <c r="W5">
        <v>1</v>
      </c>
      <c r="X5">
        <v>3</v>
      </c>
      <c r="Y5">
        <v>347.7</v>
      </c>
      <c r="Z5">
        <v>85.7</v>
      </c>
      <c r="AA5" s="3">
        <v>0.25</v>
      </c>
    </row>
    <row r="6" spans="1:27" x14ac:dyDescent="0.2">
      <c r="A6" s="1">
        <v>38657</v>
      </c>
      <c r="B6" s="2">
        <v>0.91666666666666663</v>
      </c>
      <c r="C6">
        <v>186</v>
      </c>
      <c r="D6">
        <v>23</v>
      </c>
      <c r="E6">
        <v>186.95833300000001</v>
      </c>
      <c r="F6" s="1">
        <v>44747</v>
      </c>
      <c r="G6" t="s">
        <v>27</v>
      </c>
      <c r="H6">
        <v>286.2</v>
      </c>
      <c r="I6">
        <v>267.39999999999998</v>
      </c>
      <c r="J6">
        <v>238</v>
      </c>
      <c r="K6">
        <v>245.6</v>
      </c>
      <c r="L6">
        <v>74.400000000000006</v>
      </c>
      <c r="M6">
        <v>381.8</v>
      </c>
      <c r="N6">
        <v>93.8</v>
      </c>
      <c r="O6">
        <v>419.7</v>
      </c>
      <c r="P6">
        <v>553.6</v>
      </c>
      <c r="Q6">
        <v>483.5</v>
      </c>
      <c r="R6">
        <v>456.2</v>
      </c>
      <c r="S6">
        <v>513.5</v>
      </c>
      <c r="T6">
        <v>1</v>
      </c>
      <c r="U6">
        <v>1</v>
      </c>
      <c r="V6">
        <v>1</v>
      </c>
      <c r="W6">
        <v>1</v>
      </c>
      <c r="X6">
        <v>4</v>
      </c>
      <c r="Y6">
        <v>501.7</v>
      </c>
      <c r="Z6">
        <v>36.200000000000003</v>
      </c>
      <c r="AA6" s="3">
        <v>7.0000000000000007E-2</v>
      </c>
    </row>
    <row r="7" spans="1:27" x14ac:dyDescent="0.2">
      <c r="A7" s="1">
        <v>39022</v>
      </c>
      <c r="B7" s="2">
        <v>4.1666666666666664E-2</v>
      </c>
      <c r="C7">
        <v>187</v>
      </c>
      <c r="D7">
        <v>2</v>
      </c>
      <c r="E7">
        <v>187.08333300000001</v>
      </c>
      <c r="F7" s="1">
        <v>44748</v>
      </c>
      <c r="G7" t="s">
        <v>28</v>
      </c>
      <c r="H7">
        <v>202.3</v>
      </c>
      <c r="I7">
        <v>131.19999999999999</v>
      </c>
      <c r="J7">
        <v>318</v>
      </c>
      <c r="K7">
        <v>181.1</v>
      </c>
      <c r="L7">
        <v>140.6</v>
      </c>
      <c r="M7">
        <v>707.1</v>
      </c>
      <c r="N7">
        <v>307.8</v>
      </c>
      <c r="O7">
        <v>559.79999999999995</v>
      </c>
      <c r="P7">
        <v>333.6</v>
      </c>
      <c r="Q7">
        <v>499.1</v>
      </c>
      <c r="R7">
        <v>847.7</v>
      </c>
      <c r="S7">
        <v>867.6</v>
      </c>
      <c r="T7">
        <v>1</v>
      </c>
      <c r="U7">
        <v>1</v>
      </c>
      <c r="V7">
        <v>0</v>
      </c>
      <c r="W7">
        <v>1</v>
      </c>
      <c r="X7">
        <v>3</v>
      </c>
      <c r="Y7">
        <v>566.70000000000005</v>
      </c>
      <c r="Z7">
        <v>223.2</v>
      </c>
      <c r="AA7" s="3">
        <v>0.39</v>
      </c>
    </row>
    <row r="8" spans="1:27" x14ac:dyDescent="0.2">
      <c r="A8" s="1">
        <v>39387</v>
      </c>
      <c r="B8" s="2">
        <v>0.16666666666666666</v>
      </c>
      <c r="C8">
        <v>187</v>
      </c>
      <c r="D8">
        <v>5</v>
      </c>
      <c r="E8">
        <v>187.20833300000001</v>
      </c>
      <c r="F8" s="1">
        <v>44748</v>
      </c>
      <c r="G8" t="s">
        <v>28</v>
      </c>
      <c r="H8">
        <v>267.7</v>
      </c>
      <c r="I8">
        <v>21.2</v>
      </c>
      <c r="J8">
        <v>493.7</v>
      </c>
      <c r="K8">
        <v>135.1</v>
      </c>
      <c r="L8">
        <v>183</v>
      </c>
      <c r="M8">
        <v>257</v>
      </c>
      <c r="N8">
        <v>133.1</v>
      </c>
      <c r="O8">
        <v>9.8000000000000007</v>
      </c>
      <c r="P8">
        <v>288.89999999999998</v>
      </c>
      <c r="Q8">
        <v>628.79999999999995</v>
      </c>
      <c r="R8">
        <v>440</v>
      </c>
      <c r="S8">
        <v>142.9</v>
      </c>
      <c r="T8">
        <v>1</v>
      </c>
      <c r="U8">
        <v>1</v>
      </c>
      <c r="V8">
        <v>0</v>
      </c>
      <c r="W8">
        <v>1</v>
      </c>
      <c r="X8">
        <v>3</v>
      </c>
      <c r="Y8">
        <v>353.5</v>
      </c>
      <c r="Z8">
        <v>203.6</v>
      </c>
      <c r="AA8" s="3">
        <v>0.57999999999999996</v>
      </c>
    </row>
    <row r="9" spans="1:27" x14ac:dyDescent="0.2">
      <c r="A9" s="1">
        <v>39753</v>
      </c>
      <c r="B9" s="2">
        <v>0.29166666666666669</v>
      </c>
      <c r="C9">
        <v>187</v>
      </c>
      <c r="D9">
        <v>8</v>
      </c>
      <c r="E9">
        <v>187.33333300000001</v>
      </c>
      <c r="F9" s="1">
        <v>44748</v>
      </c>
      <c r="G9" t="s">
        <v>28</v>
      </c>
      <c r="H9">
        <v>88.6</v>
      </c>
      <c r="I9">
        <v>10.3</v>
      </c>
      <c r="J9">
        <v>203.1</v>
      </c>
      <c r="K9">
        <v>85.7</v>
      </c>
      <c r="L9">
        <v>66.599999999999994</v>
      </c>
      <c r="M9">
        <v>69</v>
      </c>
      <c r="N9">
        <v>111.2</v>
      </c>
      <c r="O9">
        <v>43.9</v>
      </c>
      <c r="P9">
        <v>98.8</v>
      </c>
      <c r="Q9">
        <v>288.8</v>
      </c>
      <c r="R9">
        <v>135.6</v>
      </c>
      <c r="S9">
        <v>155.1</v>
      </c>
      <c r="T9">
        <v>1</v>
      </c>
      <c r="U9">
        <v>1</v>
      </c>
      <c r="V9">
        <v>1</v>
      </c>
      <c r="W9">
        <v>1</v>
      </c>
      <c r="X9">
        <v>4</v>
      </c>
      <c r="Y9">
        <v>169.6</v>
      </c>
      <c r="Z9">
        <v>71.7</v>
      </c>
      <c r="AA9" s="3">
        <v>0.42</v>
      </c>
    </row>
    <row r="10" spans="1:27" x14ac:dyDescent="0.2">
      <c r="A10" s="1">
        <v>37197</v>
      </c>
      <c r="B10" s="2">
        <v>0.29166666666666669</v>
      </c>
      <c r="C10">
        <v>209</v>
      </c>
      <c r="D10">
        <v>8</v>
      </c>
      <c r="E10">
        <v>209.33333300000001</v>
      </c>
      <c r="F10" s="1">
        <v>44770</v>
      </c>
      <c r="G10" t="s">
        <v>29</v>
      </c>
      <c r="H10">
        <v>563.5</v>
      </c>
      <c r="I10">
        <v>28.6</v>
      </c>
      <c r="J10">
        <v>884.1</v>
      </c>
      <c r="K10">
        <v>97.6</v>
      </c>
      <c r="L10">
        <v>1299.8</v>
      </c>
      <c r="M10">
        <v>71.599999999999994</v>
      </c>
      <c r="N10">
        <v>348.7</v>
      </c>
      <c r="O10">
        <v>2.2000000000000002</v>
      </c>
      <c r="P10">
        <v>592.20000000000005</v>
      </c>
      <c r="Q10">
        <v>981.7</v>
      </c>
      <c r="R10">
        <v>1371.4</v>
      </c>
      <c r="S10">
        <v>350.9</v>
      </c>
      <c r="T10">
        <v>1</v>
      </c>
      <c r="U10">
        <v>1</v>
      </c>
      <c r="V10">
        <v>1</v>
      </c>
      <c r="W10">
        <v>1</v>
      </c>
      <c r="X10">
        <v>4</v>
      </c>
      <c r="Y10">
        <v>824</v>
      </c>
      <c r="Z10">
        <v>387.9</v>
      </c>
      <c r="AA10" s="3">
        <v>0.47</v>
      </c>
    </row>
    <row r="11" spans="1:27" x14ac:dyDescent="0.2">
      <c r="A11" s="1">
        <v>37562</v>
      </c>
      <c r="B11" s="2">
        <v>0.54166666666666663</v>
      </c>
      <c r="C11">
        <v>209</v>
      </c>
      <c r="D11">
        <v>13</v>
      </c>
      <c r="E11">
        <v>209.54166699999999</v>
      </c>
      <c r="F11" s="1">
        <v>44770</v>
      </c>
      <c r="G11" t="s">
        <v>29</v>
      </c>
      <c r="H11">
        <v>843.6</v>
      </c>
      <c r="I11">
        <v>116.8</v>
      </c>
      <c r="J11">
        <v>829.2</v>
      </c>
      <c r="K11">
        <v>47.7</v>
      </c>
      <c r="L11">
        <v>557.5</v>
      </c>
      <c r="M11">
        <v>85.6</v>
      </c>
      <c r="N11">
        <v>382.2</v>
      </c>
      <c r="O11">
        <v>59.3</v>
      </c>
      <c r="P11">
        <v>960.4</v>
      </c>
      <c r="Q11">
        <v>876.9</v>
      </c>
      <c r="R11">
        <v>643.1</v>
      </c>
      <c r="S11">
        <v>441.5</v>
      </c>
      <c r="T11">
        <v>1</v>
      </c>
      <c r="U11">
        <v>1</v>
      </c>
      <c r="V11">
        <v>1</v>
      </c>
      <c r="W11">
        <v>1</v>
      </c>
      <c r="X11">
        <v>4</v>
      </c>
      <c r="Y11">
        <v>730.5</v>
      </c>
      <c r="Z11">
        <v>203.4</v>
      </c>
      <c r="AA11" s="3">
        <v>0.28000000000000003</v>
      </c>
    </row>
    <row r="12" spans="1:27" x14ac:dyDescent="0.2">
      <c r="A12" s="1">
        <v>37198</v>
      </c>
      <c r="B12" s="2">
        <v>0.29166666666666669</v>
      </c>
      <c r="C12">
        <v>236</v>
      </c>
      <c r="D12">
        <v>8</v>
      </c>
      <c r="E12">
        <v>236.33333300000001</v>
      </c>
      <c r="F12" s="1">
        <v>44797</v>
      </c>
      <c r="G12" t="s">
        <v>30</v>
      </c>
      <c r="H12">
        <v>284.89999999999998</v>
      </c>
      <c r="I12">
        <v>104.3</v>
      </c>
      <c r="J12">
        <v>231.2</v>
      </c>
      <c r="K12">
        <v>84</v>
      </c>
      <c r="L12">
        <v>400.8</v>
      </c>
      <c r="M12">
        <v>146</v>
      </c>
      <c r="N12">
        <v>158.19999999999999</v>
      </c>
      <c r="O12">
        <v>132.5</v>
      </c>
      <c r="P12">
        <v>389.2</v>
      </c>
      <c r="Q12">
        <v>315.2</v>
      </c>
      <c r="R12">
        <v>546.9</v>
      </c>
      <c r="S12">
        <v>290.7</v>
      </c>
      <c r="T12">
        <v>1</v>
      </c>
      <c r="U12">
        <v>1</v>
      </c>
      <c r="V12">
        <v>0</v>
      </c>
      <c r="W12">
        <v>1</v>
      </c>
      <c r="X12">
        <v>3</v>
      </c>
      <c r="Y12">
        <v>331.7</v>
      </c>
      <c r="Z12">
        <v>41.9</v>
      </c>
      <c r="AA12" s="3">
        <v>0.13</v>
      </c>
    </row>
    <row r="13" spans="1:27" x14ac:dyDescent="0.2">
      <c r="A13" s="1">
        <v>37563</v>
      </c>
      <c r="B13" s="2">
        <v>0.54166666666666663</v>
      </c>
      <c r="C13">
        <v>236</v>
      </c>
      <c r="D13">
        <v>13</v>
      </c>
      <c r="E13">
        <v>236.54166699999999</v>
      </c>
      <c r="F13" s="1">
        <v>44797</v>
      </c>
      <c r="G13" t="s">
        <v>30</v>
      </c>
      <c r="H13">
        <v>304.8</v>
      </c>
      <c r="I13">
        <v>62.5</v>
      </c>
      <c r="J13">
        <v>278.60000000000002</v>
      </c>
      <c r="K13">
        <v>113.2</v>
      </c>
      <c r="L13">
        <v>283.10000000000002</v>
      </c>
      <c r="M13">
        <v>234.4</v>
      </c>
      <c r="N13">
        <v>181.9</v>
      </c>
      <c r="O13">
        <v>186.3</v>
      </c>
      <c r="P13">
        <v>367.4</v>
      </c>
      <c r="Q13">
        <v>391.9</v>
      </c>
      <c r="R13">
        <v>517.4</v>
      </c>
      <c r="S13">
        <v>368.2</v>
      </c>
      <c r="T13">
        <v>1</v>
      </c>
      <c r="U13">
        <v>1</v>
      </c>
      <c r="V13">
        <v>0</v>
      </c>
      <c r="W13">
        <v>1</v>
      </c>
      <c r="X13">
        <v>3</v>
      </c>
      <c r="Y13">
        <v>375.8</v>
      </c>
      <c r="Z13">
        <v>11.4</v>
      </c>
      <c r="AA13" s="3">
        <v>0.03</v>
      </c>
    </row>
    <row r="14" spans="1:27" x14ac:dyDescent="0.2">
      <c r="A14" s="1">
        <v>37928</v>
      </c>
      <c r="B14" s="2">
        <v>0.79166666666666663</v>
      </c>
      <c r="C14">
        <v>236</v>
      </c>
      <c r="D14">
        <v>20</v>
      </c>
      <c r="E14">
        <v>236.83333300000001</v>
      </c>
      <c r="F14" s="1">
        <v>44797</v>
      </c>
      <c r="G14" t="s">
        <v>30</v>
      </c>
      <c r="H14">
        <v>139.80000000000001</v>
      </c>
      <c r="I14">
        <v>334.2</v>
      </c>
      <c r="J14">
        <v>284.39999999999998</v>
      </c>
      <c r="K14">
        <v>128.19999999999999</v>
      </c>
      <c r="L14">
        <v>330.1</v>
      </c>
      <c r="M14">
        <v>191.4</v>
      </c>
      <c r="N14">
        <v>108.5</v>
      </c>
      <c r="O14">
        <v>113.8</v>
      </c>
      <c r="P14">
        <v>474</v>
      </c>
      <c r="Q14">
        <v>412.6</v>
      </c>
      <c r="R14">
        <v>521.5</v>
      </c>
      <c r="S14">
        <v>222.3</v>
      </c>
      <c r="T14">
        <v>1</v>
      </c>
      <c r="U14">
        <v>1</v>
      </c>
      <c r="V14">
        <v>0</v>
      </c>
      <c r="W14">
        <v>1</v>
      </c>
      <c r="X14">
        <v>3</v>
      </c>
      <c r="Y14">
        <v>369.6</v>
      </c>
      <c r="Z14">
        <v>107.2</v>
      </c>
      <c r="AA14" s="3">
        <v>0.28999999999999998</v>
      </c>
    </row>
    <row r="15" spans="1:27" x14ac:dyDescent="0.2">
      <c r="A15" s="1">
        <v>37199</v>
      </c>
      <c r="B15" s="2">
        <v>0.29166666666666669</v>
      </c>
      <c r="C15">
        <v>258</v>
      </c>
      <c r="D15">
        <v>8</v>
      </c>
      <c r="E15">
        <v>258.33333299999998</v>
      </c>
      <c r="F15" s="1">
        <v>44819</v>
      </c>
      <c r="G15" t="s">
        <v>31</v>
      </c>
      <c r="H15">
        <v>390.7</v>
      </c>
      <c r="I15">
        <v>-1.5</v>
      </c>
      <c r="J15">
        <v>560</v>
      </c>
      <c r="K15">
        <v>31.8</v>
      </c>
      <c r="L15">
        <v>428.3</v>
      </c>
      <c r="M15">
        <v>80</v>
      </c>
      <c r="N15">
        <v>102.7</v>
      </c>
      <c r="O15">
        <v>38.6</v>
      </c>
      <c r="P15">
        <v>389.2</v>
      </c>
      <c r="Q15">
        <v>591.9</v>
      </c>
      <c r="R15">
        <v>508.3</v>
      </c>
      <c r="S15">
        <v>141.30000000000001</v>
      </c>
      <c r="T15">
        <v>1</v>
      </c>
      <c r="U15">
        <v>1</v>
      </c>
      <c r="V15">
        <v>0</v>
      </c>
      <c r="W15">
        <v>1</v>
      </c>
      <c r="X15">
        <v>3</v>
      </c>
      <c r="Y15">
        <v>374.1</v>
      </c>
      <c r="Z15">
        <v>184.3</v>
      </c>
      <c r="AA15" s="3">
        <v>0.49</v>
      </c>
    </row>
    <row r="16" spans="1:27" x14ac:dyDescent="0.2">
      <c r="A16" s="1">
        <v>37564</v>
      </c>
      <c r="B16" s="2">
        <v>0.54166666666666663</v>
      </c>
      <c r="C16">
        <v>258</v>
      </c>
      <c r="D16">
        <v>13</v>
      </c>
      <c r="E16">
        <v>258.54166700000002</v>
      </c>
      <c r="F16" s="1">
        <v>44819</v>
      </c>
      <c r="G16" t="s">
        <v>31</v>
      </c>
      <c r="H16">
        <v>310.89999999999998</v>
      </c>
      <c r="I16">
        <v>-5.6</v>
      </c>
      <c r="J16">
        <v>697.3</v>
      </c>
      <c r="K16">
        <v>5.4</v>
      </c>
      <c r="L16">
        <v>218.8</v>
      </c>
      <c r="M16">
        <v>110.2</v>
      </c>
      <c r="N16">
        <v>229.3</v>
      </c>
      <c r="O16">
        <v>290.10000000000002</v>
      </c>
      <c r="P16">
        <v>305.3</v>
      </c>
      <c r="Q16">
        <v>702.7</v>
      </c>
      <c r="R16">
        <v>329</v>
      </c>
      <c r="S16">
        <v>519.4</v>
      </c>
      <c r="T16">
        <v>0</v>
      </c>
      <c r="U16">
        <v>1</v>
      </c>
      <c r="V16">
        <v>0</v>
      </c>
      <c r="W16">
        <v>1</v>
      </c>
      <c r="X16">
        <v>2</v>
      </c>
      <c r="Y16">
        <v>611.1</v>
      </c>
      <c r="Z16">
        <v>91.7</v>
      </c>
      <c r="AA16" s="3">
        <v>0.15</v>
      </c>
    </row>
    <row r="17" spans="1:27" x14ac:dyDescent="0.2">
      <c r="A17" s="1">
        <v>37929</v>
      </c>
      <c r="B17" s="2">
        <v>0.79166666666666663</v>
      </c>
      <c r="C17">
        <v>258</v>
      </c>
      <c r="D17">
        <v>20</v>
      </c>
      <c r="E17">
        <v>258.83333299999998</v>
      </c>
      <c r="F17" s="1">
        <v>44819</v>
      </c>
      <c r="G17" t="s">
        <v>31</v>
      </c>
      <c r="H17">
        <v>311.8</v>
      </c>
      <c r="I17">
        <v>-1.1000000000000001</v>
      </c>
      <c r="J17">
        <v>492.4</v>
      </c>
      <c r="K17">
        <v>23.8</v>
      </c>
      <c r="L17">
        <v>633.4</v>
      </c>
      <c r="M17">
        <v>59.7</v>
      </c>
      <c r="N17">
        <v>322.2</v>
      </c>
      <c r="O17">
        <v>74.8</v>
      </c>
      <c r="P17">
        <v>310.7</v>
      </c>
      <c r="Q17">
        <v>516.20000000000005</v>
      </c>
      <c r="R17">
        <v>693.1</v>
      </c>
      <c r="S17">
        <v>397</v>
      </c>
      <c r="T17">
        <v>0</v>
      </c>
      <c r="U17">
        <v>1</v>
      </c>
      <c r="V17">
        <v>0</v>
      </c>
      <c r="W17">
        <v>1</v>
      </c>
      <c r="X17">
        <v>2</v>
      </c>
      <c r="Y17">
        <v>456.6</v>
      </c>
      <c r="Z17">
        <v>59.6</v>
      </c>
      <c r="AA17" s="3">
        <v>0.13</v>
      </c>
    </row>
    <row r="18" spans="1:27" x14ac:dyDescent="0.2">
      <c r="A18" s="1">
        <v>37200</v>
      </c>
      <c r="B18" s="2">
        <v>0.5</v>
      </c>
      <c r="C18">
        <v>278</v>
      </c>
      <c r="D18">
        <v>12</v>
      </c>
      <c r="E18">
        <v>278.5</v>
      </c>
      <c r="F18" s="1">
        <v>44839</v>
      </c>
      <c r="G18" t="s">
        <v>32</v>
      </c>
      <c r="H18">
        <v>16.399999999999999</v>
      </c>
      <c r="I18">
        <v>-4.8</v>
      </c>
      <c r="J18">
        <v>61</v>
      </c>
      <c r="K18">
        <v>36.9</v>
      </c>
      <c r="L18">
        <v>59.1</v>
      </c>
      <c r="M18">
        <v>154.9</v>
      </c>
      <c r="N18">
        <v>14.6</v>
      </c>
      <c r="O18">
        <v>0</v>
      </c>
      <c r="P18">
        <v>11.5</v>
      </c>
      <c r="Q18">
        <v>97.9</v>
      </c>
      <c r="R18">
        <v>214</v>
      </c>
      <c r="S18">
        <v>14.6</v>
      </c>
      <c r="T18">
        <v>0</v>
      </c>
      <c r="U18">
        <v>0</v>
      </c>
      <c r="V18">
        <v>0</v>
      </c>
      <c r="W18">
        <v>1</v>
      </c>
      <c r="X18">
        <v>1</v>
      </c>
      <c r="Y18">
        <v>14.6</v>
      </c>
      <c r="Z18">
        <v>0</v>
      </c>
      <c r="AA18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64A5-D71F-BE4F-BBBB-58C088E6936F}">
  <dimension ref="A1:AH19"/>
  <sheetViews>
    <sheetView workbookViewId="0">
      <selection sqref="A1:XFD1048576"/>
    </sheetView>
  </sheetViews>
  <sheetFormatPr baseColWidth="10" defaultRowHeight="16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24</v>
      </c>
      <c r="AE1" t="s">
        <v>25</v>
      </c>
      <c r="AF1" t="s">
        <v>26</v>
      </c>
      <c r="AH1" t="s">
        <v>38</v>
      </c>
    </row>
    <row r="2" spans="1:34" x14ac:dyDescent="0.2">
      <c r="A2" s="1">
        <v>37196</v>
      </c>
      <c r="B2" s="2">
        <v>0.41666666666666669</v>
      </c>
      <c r="C2">
        <v>186</v>
      </c>
      <c r="D2">
        <v>11</v>
      </c>
      <c r="E2">
        <v>186.45833300000001</v>
      </c>
      <c r="F2" s="1">
        <v>44747</v>
      </c>
      <c r="G2" t="s">
        <v>27</v>
      </c>
      <c r="H2" s="4">
        <f>Stem_all!H2*6/1000</f>
        <v>2.1461999999999999</v>
      </c>
      <c r="I2" s="4">
        <f>Stem_all!I2*6/1000</f>
        <v>0.34139999999999998</v>
      </c>
      <c r="J2" s="4">
        <f>Stem_all!J2*6/1000</f>
        <v>2.7911999999999999</v>
      </c>
      <c r="K2" s="4">
        <f>Stem_all!K2*6/1000</f>
        <v>3.3809999999999998</v>
      </c>
      <c r="L2" s="4">
        <f>Stem_all!L2*6/1000</f>
        <v>5.8613999999999997</v>
      </c>
      <c r="M2" s="4">
        <f>Stem_all!M2*6/1000</f>
        <v>1.0734000000000001</v>
      </c>
      <c r="N2" s="4">
        <f>Stem_all!N2*6/1000</f>
        <v>1.9566000000000001</v>
      </c>
      <c r="O2" s="4">
        <f>Stem_all!O2*6/1000</f>
        <v>0.19379999999999997</v>
      </c>
      <c r="P2" s="4">
        <f>Stem_all!P2*6/1000</f>
        <v>2.4882</v>
      </c>
      <c r="Q2" s="4">
        <f>Stem_all!Q2*6/1000</f>
        <v>6.1727999999999996</v>
      </c>
      <c r="R2" s="4">
        <f>Stem_all!R2*6/1000</f>
        <v>6.9347999999999992</v>
      </c>
      <c r="S2" s="4">
        <f>Stem_all!S2*6/1000</f>
        <v>2.1503999999999994</v>
      </c>
      <c r="T2">
        <v>1</v>
      </c>
      <c r="U2">
        <v>1</v>
      </c>
      <c r="V2">
        <v>0</v>
      </c>
      <c r="W2">
        <v>1</v>
      </c>
      <c r="X2">
        <v>3</v>
      </c>
      <c r="Y2" s="5">
        <f>(I2*T2+K2*U2+M2*V2+O2*W2)/X2</f>
        <v>1.3053999999999999</v>
      </c>
      <c r="Z2" s="5">
        <f>SQRT((((I2-$Y2)^2)*T2+((K2-$Y2)^2)*U2+((M2-$Y2)^2)*V2+((O2-$Y2)^2)*W2)/(X2-1))</f>
        <v>1.7990366755572269</v>
      </c>
      <c r="AA2" s="5">
        <f t="shared" ref="AA2:AA18" si="0">(H2*T2+J2*U2+L2*V2+N2*W2)/X2</f>
        <v>2.298</v>
      </c>
      <c r="AB2" s="5">
        <f t="shared" ref="AB2:AB18" si="1">SQRT((((H2-$Z2)^2)*T2+((J2-$Z2)^2)*U2+((L2-$Z2)^2)*V2+((N2-$Z2)^2)*W2)/(X2-1))</f>
        <v>0.7515772207221797</v>
      </c>
      <c r="AC2" s="6">
        <f t="shared" ref="AC2:AC17" si="2">AA2/(Y2+AA2)</f>
        <v>0.63773103180329693</v>
      </c>
      <c r="AD2" s="5">
        <f t="shared" ref="AD2:AD17" si="3">Y2+AA2</f>
        <v>3.6033999999999997</v>
      </c>
      <c r="AE2" s="5">
        <f t="shared" ref="AE2:AE17" si="4">SQRT((((H2+I2-$AD2)^2)*T2+((J2+K2-$AD2)^2)*U2+((L2+M2-$AD2)^2)*V2+((N2+O2-$AD2)^2)*W2)/(X2-1))</f>
        <v>2.2310257820114945</v>
      </c>
      <c r="AF2" s="7">
        <f>AE2/AD2</f>
        <v>0.61914463618013393</v>
      </c>
      <c r="AH2" s="5">
        <f>((H2+I2-$AD$19)^2)*T2+((J2+K2-$AD$19)^2)*U2+((L2+M2-$AD$19)^2)*V2+((N2+O2-$AD$19)^2)*W2</f>
        <v>13.030629661669924</v>
      </c>
    </row>
    <row r="3" spans="1:34" x14ac:dyDescent="0.2">
      <c r="A3" s="1">
        <v>37561</v>
      </c>
      <c r="B3" s="2">
        <v>0.54166666666666663</v>
      </c>
      <c r="C3">
        <v>186</v>
      </c>
      <c r="D3">
        <v>14</v>
      </c>
      <c r="E3">
        <v>186.58333300000001</v>
      </c>
      <c r="F3" s="1">
        <v>44747</v>
      </c>
      <c r="G3" t="s">
        <v>27</v>
      </c>
      <c r="H3" s="4">
        <f>Stem_all!H3*6/1000</f>
        <v>2.7120000000000002</v>
      </c>
      <c r="I3" s="4">
        <f>Stem_all!I3*6/1000</f>
        <v>1.1118000000000001</v>
      </c>
      <c r="J3" s="4">
        <f>Stem_all!J3*6/1000</f>
        <v>1.0211999999999999</v>
      </c>
      <c r="K3" s="4">
        <f>Stem_all!K3*6/1000</f>
        <v>1.3524</v>
      </c>
      <c r="L3" s="4">
        <f>Stem_all!L3*6/1000</f>
        <v>1.7111999999999998</v>
      </c>
      <c r="M3" s="4">
        <f>Stem_all!M3*6/1000</f>
        <v>0.64800000000000002</v>
      </c>
      <c r="N3" s="4">
        <f>Stem_all!N3*6/1000</f>
        <v>1.413</v>
      </c>
      <c r="O3" s="4">
        <f>Stem_all!O3*6/1000</f>
        <v>0.46320000000000006</v>
      </c>
      <c r="P3" s="4">
        <f>Stem_all!P3*6/1000</f>
        <v>3.8237999999999999</v>
      </c>
      <c r="Q3" s="4">
        <f>Stem_all!Q3*6/1000</f>
        <v>2.3736000000000002</v>
      </c>
      <c r="R3" s="4">
        <f>Stem_all!R3*6/1000</f>
        <v>2.3592</v>
      </c>
      <c r="S3" s="4">
        <f>Stem_all!S3*6/1000</f>
        <v>1.8761999999999999</v>
      </c>
      <c r="T3">
        <v>1</v>
      </c>
      <c r="U3">
        <v>0</v>
      </c>
      <c r="V3">
        <v>0</v>
      </c>
      <c r="W3">
        <v>1</v>
      </c>
      <c r="X3">
        <v>2</v>
      </c>
      <c r="Y3" s="5">
        <f t="shared" ref="Y3:Y18" si="5">(I3*T3+K3*U3+M3*V3+O3*W3)/X3</f>
        <v>0.78750000000000009</v>
      </c>
      <c r="Z3" s="5">
        <f t="shared" ref="Z3:Z16" si="6">SQRT((((I3-$Y3)^2)*T3+((K3-$Y3)^2)*U3+((M3-$Y3)^2)*V3+((O3-$Y3)^2)*W3)/(X3-1))</f>
        <v>0.45862945827759477</v>
      </c>
      <c r="AA3" s="5">
        <f t="shared" si="0"/>
        <v>2.0625</v>
      </c>
      <c r="AB3" s="5">
        <f t="shared" si="1"/>
        <v>2.4471415834008958</v>
      </c>
      <c r="AC3" s="6">
        <f t="shared" si="2"/>
        <v>0.72368421052631582</v>
      </c>
      <c r="AD3" s="5">
        <f t="shared" si="3"/>
        <v>2.85</v>
      </c>
      <c r="AE3" s="5">
        <f t="shared" si="4"/>
        <v>1.3771611670389201</v>
      </c>
      <c r="AF3" s="7">
        <f t="shared" ref="AF3:AF17" si="7">AE3/AD3</f>
        <v>0.48321444457505969</v>
      </c>
      <c r="AH3" s="5">
        <f t="shared" ref="AH3:AH18" si="8">((H3+I3-$AD$19)^2)*T3+((J3+K3-$AD$19)^2)*U3+((L3+M3-$AD$19)^2)*V3+((N3+O3-$AD$19)^2)*W3</f>
        <v>2.0308741286132821</v>
      </c>
    </row>
    <row r="4" spans="1:34" x14ac:dyDescent="0.2">
      <c r="A4" s="1">
        <v>37926</v>
      </c>
      <c r="B4" s="2">
        <v>0.66666666666666663</v>
      </c>
      <c r="C4">
        <v>186</v>
      </c>
      <c r="D4">
        <v>17</v>
      </c>
      <c r="E4">
        <v>186.70833300000001</v>
      </c>
      <c r="F4" s="1">
        <v>44747</v>
      </c>
      <c r="G4" t="s">
        <v>27</v>
      </c>
      <c r="H4" s="4">
        <f>Stem_all!H4*6/1000</f>
        <v>1.9103999999999999</v>
      </c>
      <c r="I4" s="4">
        <f>Stem_all!I4*6/1000</f>
        <v>0.24239999999999998</v>
      </c>
      <c r="J4" s="4">
        <f>Stem_all!J4*6/1000</f>
        <v>2.0418000000000003</v>
      </c>
      <c r="K4" s="4">
        <f>Stem_all!K4*6/1000</f>
        <v>1.089</v>
      </c>
      <c r="L4" s="4">
        <f>Stem_all!L4*6/1000</f>
        <v>0.89819999999999989</v>
      </c>
      <c r="M4" s="4">
        <f>Stem_all!M4*6/1000</f>
        <v>2.8746000000000005</v>
      </c>
      <c r="N4" s="4">
        <f>Stem_all!N4*6/1000</f>
        <v>0.97319999999999995</v>
      </c>
      <c r="O4" s="4">
        <f>Stem_all!O4*6/1000</f>
        <v>1.0649999999999999</v>
      </c>
      <c r="P4" s="4">
        <f>Stem_all!P4*6/1000</f>
        <v>2.1528</v>
      </c>
      <c r="Q4" s="4">
        <f>Stem_all!Q4*6/1000</f>
        <v>3.1307999999999998</v>
      </c>
      <c r="R4" s="4">
        <f>Stem_all!R4*6/1000</f>
        <v>3.7727999999999997</v>
      </c>
      <c r="S4" s="4">
        <f>Stem_all!S4*6/1000</f>
        <v>2.0381999999999998</v>
      </c>
      <c r="T4">
        <v>1</v>
      </c>
      <c r="U4">
        <v>1</v>
      </c>
      <c r="V4">
        <v>0</v>
      </c>
      <c r="W4">
        <v>1</v>
      </c>
      <c r="X4">
        <v>3</v>
      </c>
      <c r="Y4" s="5">
        <f t="shared" si="5"/>
        <v>0.79879999999999995</v>
      </c>
      <c r="Z4" s="5">
        <f t="shared" si="6"/>
        <v>0.48200593357343646</v>
      </c>
      <c r="AA4" s="5">
        <f t="shared" si="0"/>
        <v>1.6418000000000001</v>
      </c>
      <c r="AB4" s="5">
        <f t="shared" si="1"/>
        <v>1.5353401495360552</v>
      </c>
      <c r="AC4" s="6">
        <f t="shared" si="2"/>
        <v>0.67270343358190621</v>
      </c>
      <c r="AD4" s="5">
        <f t="shared" si="3"/>
        <v>2.4405999999999999</v>
      </c>
      <c r="AE4" s="5">
        <f t="shared" si="4"/>
        <v>0.60047091519906304</v>
      </c>
      <c r="AF4" s="7">
        <f t="shared" si="7"/>
        <v>0.24603413717899822</v>
      </c>
      <c r="AH4" s="5">
        <f t="shared" si="8"/>
        <v>0.78886991416992214</v>
      </c>
    </row>
    <row r="5" spans="1:34" x14ac:dyDescent="0.2">
      <c r="A5" s="1">
        <v>38292</v>
      </c>
      <c r="B5" s="2">
        <v>0.79166666666666663</v>
      </c>
      <c r="C5">
        <v>186</v>
      </c>
      <c r="D5">
        <v>20</v>
      </c>
      <c r="E5">
        <v>186.83333300000001</v>
      </c>
      <c r="F5" s="1">
        <v>44747</v>
      </c>
      <c r="G5" t="s">
        <v>27</v>
      </c>
      <c r="H5" s="4">
        <f>Stem_all!H5*6/1000</f>
        <v>1.3835999999999999</v>
      </c>
      <c r="I5" s="4">
        <f>Stem_all!I5*6/1000</f>
        <v>1.2798000000000003</v>
      </c>
      <c r="J5" s="4">
        <f>Stem_all!J5*6/1000</f>
        <v>1.3991999999999998</v>
      </c>
      <c r="K5" s="4">
        <f>Stem_all!K5*6/1000</f>
        <v>0.78059999999999996</v>
      </c>
      <c r="L5" s="4">
        <f>Stem_all!L5*6/1000</f>
        <v>2.8691999999999998</v>
      </c>
      <c r="M5" s="4">
        <f>Stem_all!M5*6/1000</f>
        <v>2.4683999999999995</v>
      </c>
      <c r="N5" s="4">
        <f>Stem_all!N5*6/1000</f>
        <v>1.1339999999999999</v>
      </c>
      <c r="O5" s="4">
        <f>Stem_all!O5*6/1000</f>
        <v>0.28079999999999994</v>
      </c>
      <c r="P5" s="4">
        <f>Stem_all!P5*6/1000</f>
        <v>2.6633999999999998</v>
      </c>
      <c r="Q5" s="4">
        <f>Stem_all!Q5*6/1000</f>
        <v>2.1798000000000002</v>
      </c>
      <c r="R5" s="4">
        <f>Stem_all!R5*6/1000</f>
        <v>5.3376000000000001</v>
      </c>
      <c r="S5" s="4">
        <f>Stem_all!S5*6/1000</f>
        <v>1.4148000000000003</v>
      </c>
      <c r="T5">
        <v>1</v>
      </c>
      <c r="U5">
        <v>1</v>
      </c>
      <c r="V5">
        <v>0</v>
      </c>
      <c r="W5">
        <v>1</v>
      </c>
      <c r="X5">
        <v>3</v>
      </c>
      <c r="Y5" s="5">
        <f t="shared" si="5"/>
        <v>0.7804000000000002</v>
      </c>
      <c r="Z5" s="5">
        <f t="shared" si="6"/>
        <v>0.4995000300300293</v>
      </c>
      <c r="AA5" s="5">
        <f t="shared" si="0"/>
        <v>1.3055999999999999</v>
      </c>
      <c r="AB5" s="5">
        <f t="shared" si="1"/>
        <v>0.99841950220254672</v>
      </c>
      <c r="AC5" s="6">
        <f t="shared" si="2"/>
        <v>0.62588686481303912</v>
      </c>
      <c r="AD5" s="5">
        <f t="shared" si="3"/>
        <v>2.0860000000000003</v>
      </c>
      <c r="AE5" s="5">
        <f t="shared" si="4"/>
        <v>0.62956280067996406</v>
      </c>
      <c r="AF5" s="7">
        <f t="shared" si="7"/>
        <v>0.30180383541704886</v>
      </c>
      <c r="AH5" s="5">
        <f t="shared" si="8"/>
        <v>1.5573665379199217</v>
      </c>
    </row>
    <row r="6" spans="1:34" x14ac:dyDescent="0.2">
      <c r="A6" s="1">
        <v>38657</v>
      </c>
      <c r="B6" s="2">
        <v>0.91666666666666663</v>
      </c>
      <c r="C6">
        <v>186</v>
      </c>
      <c r="D6">
        <v>23</v>
      </c>
      <c r="E6">
        <v>186.95833300000001</v>
      </c>
      <c r="F6" s="1">
        <v>44747</v>
      </c>
      <c r="G6" t="s">
        <v>27</v>
      </c>
      <c r="H6" s="4">
        <f>Stem_all!H6*6/1000</f>
        <v>1.7171999999999998</v>
      </c>
      <c r="I6" s="4">
        <f>Stem_all!I6*6/1000</f>
        <v>1.6043999999999998</v>
      </c>
      <c r="J6" s="4">
        <f>Stem_all!J6*6/1000</f>
        <v>1.4279999999999999</v>
      </c>
      <c r="K6" s="4">
        <f>Stem_all!K6*6/1000</f>
        <v>1.4735999999999998</v>
      </c>
      <c r="L6" s="4">
        <f>Stem_all!L6*6/1000</f>
        <v>0.44640000000000002</v>
      </c>
      <c r="M6" s="4">
        <f>Stem_all!M6*6/1000</f>
        <v>2.2908000000000004</v>
      </c>
      <c r="N6" s="4">
        <f>Stem_all!N6*6/1000</f>
        <v>0.56279999999999997</v>
      </c>
      <c r="O6" s="4">
        <f>Stem_all!O6*6/1000</f>
        <v>2.5181999999999998</v>
      </c>
      <c r="P6" s="4">
        <f>Stem_all!P6*6/1000</f>
        <v>3.3216000000000006</v>
      </c>
      <c r="Q6" s="4">
        <f>Stem_all!Q6*6/1000</f>
        <v>2.9009999999999998</v>
      </c>
      <c r="R6" s="4">
        <f>Stem_all!R6*6/1000</f>
        <v>2.7371999999999996</v>
      </c>
      <c r="S6" s="4">
        <f>Stem_all!S6*6/1000</f>
        <v>3.081</v>
      </c>
      <c r="T6">
        <v>1</v>
      </c>
      <c r="U6">
        <v>1</v>
      </c>
      <c r="V6">
        <v>1</v>
      </c>
      <c r="W6">
        <v>1</v>
      </c>
      <c r="X6">
        <v>4</v>
      </c>
      <c r="Y6" s="5">
        <f t="shared" si="5"/>
        <v>1.9717500000000001</v>
      </c>
      <c r="Z6" s="5">
        <f t="shared" si="6"/>
        <v>0.5110446653669326</v>
      </c>
      <c r="AA6" s="5">
        <f t="shared" si="0"/>
        <v>1.0386</v>
      </c>
      <c r="AB6" s="5">
        <f t="shared" si="1"/>
        <v>0.87606607901444489</v>
      </c>
      <c r="AC6" s="6">
        <f t="shared" si="2"/>
        <v>0.34500971647815037</v>
      </c>
      <c r="AD6" s="5">
        <f t="shared" si="3"/>
        <v>3.0103499999999999</v>
      </c>
      <c r="AE6" s="5">
        <f t="shared" si="4"/>
        <v>0.25053640454033788</v>
      </c>
      <c r="AF6" s="7">
        <f t="shared" si="7"/>
        <v>8.3225008567222383E-2</v>
      </c>
      <c r="AH6" s="5">
        <f t="shared" si="8"/>
        <v>0.89217403347656243</v>
      </c>
    </row>
    <row r="7" spans="1:34" x14ac:dyDescent="0.2">
      <c r="A7" s="1">
        <v>39022</v>
      </c>
      <c r="B7" s="2">
        <v>4.1666666666666664E-2</v>
      </c>
      <c r="C7">
        <v>187</v>
      </c>
      <c r="D7">
        <v>2</v>
      </c>
      <c r="E7">
        <v>187.08333300000001</v>
      </c>
      <c r="F7" s="1">
        <v>44748</v>
      </c>
      <c r="G7" t="s">
        <v>28</v>
      </c>
      <c r="H7" s="4">
        <f>Stem_all!H7*6/1000</f>
        <v>1.2138000000000002</v>
      </c>
      <c r="I7" s="4">
        <f>Stem_all!I7*6/1000</f>
        <v>0.7871999999999999</v>
      </c>
      <c r="J7" s="4">
        <f>Stem_all!J7*6/1000</f>
        <v>1.9079999999999999</v>
      </c>
      <c r="K7" s="4">
        <f>Stem_all!K7*6/1000</f>
        <v>1.0866</v>
      </c>
      <c r="L7" s="4">
        <f>Stem_all!L7*6/1000</f>
        <v>0.84359999999999991</v>
      </c>
      <c r="M7" s="4">
        <f>Stem_all!M7*6/1000</f>
        <v>4.2426000000000004</v>
      </c>
      <c r="N7" s="4">
        <f>Stem_all!N7*6/1000</f>
        <v>1.8468000000000002</v>
      </c>
      <c r="O7" s="4">
        <f>Stem_all!O7*6/1000</f>
        <v>3.3587999999999996</v>
      </c>
      <c r="P7" s="4">
        <f>Stem_all!P7*6/1000</f>
        <v>2.0016000000000003</v>
      </c>
      <c r="Q7" s="4">
        <f>Stem_all!Q7*6/1000</f>
        <v>2.9946000000000002</v>
      </c>
      <c r="R7" s="4">
        <f>Stem_all!R7*6/1000</f>
        <v>5.0862000000000007</v>
      </c>
      <c r="S7" s="4">
        <f>Stem_all!S7*6/1000</f>
        <v>5.2056000000000004</v>
      </c>
      <c r="T7">
        <v>1</v>
      </c>
      <c r="U7">
        <v>1</v>
      </c>
      <c r="V7">
        <v>0</v>
      </c>
      <c r="W7">
        <v>1</v>
      </c>
      <c r="X7">
        <v>3</v>
      </c>
      <c r="Y7" s="5">
        <f t="shared" si="5"/>
        <v>1.7442</v>
      </c>
      <c r="Z7" s="5">
        <f t="shared" si="6"/>
        <v>1.4062752077740686</v>
      </c>
      <c r="AA7" s="5">
        <f t="shared" si="0"/>
        <v>1.6562000000000001</v>
      </c>
      <c r="AB7" s="5">
        <f t="shared" si="1"/>
        <v>0.49134334497758542</v>
      </c>
      <c r="AC7" s="6">
        <f t="shared" si="2"/>
        <v>0.48706034584166569</v>
      </c>
      <c r="AD7" s="5">
        <f t="shared" si="3"/>
        <v>3.4004000000000003</v>
      </c>
      <c r="AE7" s="5">
        <f t="shared" si="4"/>
        <v>1.6403873079245641</v>
      </c>
      <c r="AF7" s="7">
        <f t="shared" si="7"/>
        <v>0.48241010114238442</v>
      </c>
      <c r="AH7" s="5">
        <f t="shared" si="8"/>
        <v>7.347778752919921</v>
      </c>
    </row>
    <row r="8" spans="1:34" x14ac:dyDescent="0.2">
      <c r="A8" s="1">
        <v>39387</v>
      </c>
      <c r="B8" s="2">
        <v>0.16666666666666666</v>
      </c>
      <c r="C8">
        <v>187</v>
      </c>
      <c r="D8">
        <v>5</v>
      </c>
      <c r="E8">
        <v>187.20833300000001</v>
      </c>
      <c r="F8" s="1">
        <v>44748</v>
      </c>
      <c r="G8" t="s">
        <v>28</v>
      </c>
      <c r="H8" s="4">
        <f>Stem_all!H8*6/1000</f>
        <v>1.6061999999999999</v>
      </c>
      <c r="I8" s="4">
        <f>Stem_all!I8*6/1000</f>
        <v>0.12719999999999998</v>
      </c>
      <c r="J8" s="4">
        <f>Stem_all!J8*6/1000</f>
        <v>2.9621999999999997</v>
      </c>
      <c r="K8" s="4">
        <f>Stem_all!K8*6/1000</f>
        <v>0.81059999999999988</v>
      </c>
      <c r="L8" s="4">
        <f>Stem_all!L8*6/1000</f>
        <v>1.0980000000000001</v>
      </c>
      <c r="M8" s="4">
        <f>Stem_all!M8*6/1000</f>
        <v>1.542</v>
      </c>
      <c r="N8" s="4">
        <f>Stem_all!N8*6/1000</f>
        <v>0.79859999999999987</v>
      </c>
      <c r="O8" s="4">
        <f>Stem_all!O8*6/1000</f>
        <v>5.8800000000000005E-2</v>
      </c>
      <c r="P8" s="4">
        <f>Stem_all!P8*6/1000</f>
        <v>1.7333999999999998</v>
      </c>
      <c r="Q8" s="4">
        <f>Stem_all!Q8*6/1000</f>
        <v>3.7727999999999997</v>
      </c>
      <c r="R8" s="4">
        <f>Stem_all!R8*6/1000</f>
        <v>2.64</v>
      </c>
      <c r="S8" s="4">
        <f>Stem_all!S8*6/1000</f>
        <v>0.85740000000000005</v>
      </c>
      <c r="T8">
        <v>1</v>
      </c>
      <c r="U8">
        <v>1</v>
      </c>
      <c r="V8">
        <v>0</v>
      </c>
      <c r="W8">
        <v>1</v>
      </c>
      <c r="X8">
        <v>3</v>
      </c>
      <c r="Y8" s="5">
        <f t="shared" si="5"/>
        <v>0.33219999999999994</v>
      </c>
      <c r="Z8" s="5">
        <f t="shared" si="6"/>
        <v>0.41571572017425551</v>
      </c>
      <c r="AA8" s="5">
        <f t="shared" si="0"/>
        <v>1.7889999999999997</v>
      </c>
      <c r="AB8" s="5">
        <f t="shared" si="1"/>
        <v>2.0060452860852296</v>
      </c>
      <c r="AC8" s="6">
        <f t="shared" si="2"/>
        <v>0.84339053366019234</v>
      </c>
      <c r="AD8" s="5">
        <f t="shared" si="3"/>
        <v>2.1211999999999995</v>
      </c>
      <c r="AE8" s="5">
        <f t="shared" si="4"/>
        <v>1.4958880038291635</v>
      </c>
      <c r="AF8" s="7">
        <f t="shared" si="7"/>
        <v>0.70520837442445972</v>
      </c>
      <c r="AH8" s="5">
        <f t="shared" si="8"/>
        <v>5.1371192379199222</v>
      </c>
    </row>
    <row r="9" spans="1:34" x14ac:dyDescent="0.2">
      <c r="A9" s="1">
        <v>39753</v>
      </c>
      <c r="B9" s="2">
        <v>0.29166666666666669</v>
      </c>
      <c r="C9">
        <v>187</v>
      </c>
      <c r="D9">
        <v>8</v>
      </c>
      <c r="E9">
        <v>187.33333300000001</v>
      </c>
      <c r="F9" s="1">
        <v>44748</v>
      </c>
      <c r="G9" t="s">
        <v>28</v>
      </c>
      <c r="H9" s="4">
        <f>Stem_all!H9*6/1000</f>
        <v>0.53159999999999996</v>
      </c>
      <c r="I9" s="4">
        <f>Stem_all!I9*6/1000</f>
        <v>6.1800000000000008E-2</v>
      </c>
      <c r="J9" s="4">
        <f>Stem_all!J9*6/1000</f>
        <v>1.2185999999999999</v>
      </c>
      <c r="K9" s="4">
        <f>Stem_all!K9*6/1000</f>
        <v>0.51419999999999999</v>
      </c>
      <c r="L9" s="4">
        <f>Stem_all!L9*6/1000</f>
        <v>0.39959999999999996</v>
      </c>
      <c r="M9" s="4">
        <f>Stem_all!M9*6/1000</f>
        <v>0.41399999999999998</v>
      </c>
      <c r="N9" s="4">
        <f>Stem_all!N9*6/1000</f>
        <v>0.66720000000000002</v>
      </c>
      <c r="O9" s="4">
        <f>Stem_all!O9*6/1000</f>
        <v>0.26339999999999997</v>
      </c>
      <c r="P9" s="4">
        <f>Stem_all!P9*6/1000</f>
        <v>0.59279999999999999</v>
      </c>
      <c r="Q9" s="4">
        <f>Stem_all!Q9*6/1000</f>
        <v>1.7328000000000001</v>
      </c>
      <c r="R9" s="4">
        <f>Stem_all!R9*6/1000</f>
        <v>0.81359999999999988</v>
      </c>
      <c r="S9" s="4">
        <f>Stem_all!S9*6/1000</f>
        <v>0.93059999999999987</v>
      </c>
      <c r="T9">
        <v>1</v>
      </c>
      <c r="U9">
        <v>1</v>
      </c>
      <c r="V9">
        <v>1</v>
      </c>
      <c r="W9">
        <v>1</v>
      </c>
      <c r="X9">
        <v>4</v>
      </c>
      <c r="Y9" s="5">
        <f t="shared" si="5"/>
        <v>0.31335000000000002</v>
      </c>
      <c r="Z9" s="5">
        <f t="shared" si="6"/>
        <v>0.19684473576908271</v>
      </c>
      <c r="AA9" s="5">
        <f t="shared" si="0"/>
        <v>0.70425000000000004</v>
      </c>
      <c r="AB9" s="5">
        <f t="shared" si="1"/>
        <v>0.687601793355473</v>
      </c>
      <c r="AC9" s="6">
        <f t="shared" si="2"/>
        <v>0.69206957547169812</v>
      </c>
      <c r="AD9" s="5">
        <f t="shared" si="3"/>
        <v>1.0176000000000001</v>
      </c>
      <c r="AE9" s="5">
        <f t="shared" si="4"/>
        <v>0.49687076790650508</v>
      </c>
      <c r="AF9" s="7">
        <f t="shared" si="7"/>
        <v>0.48827709110309064</v>
      </c>
      <c r="AH9" s="5">
        <f t="shared" si="8"/>
        <v>10.64130058722656</v>
      </c>
    </row>
    <row r="10" spans="1:34" x14ac:dyDescent="0.2">
      <c r="A10" s="1">
        <v>37197</v>
      </c>
      <c r="B10" s="2">
        <v>0.29166666666666669</v>
      </c>
      <c r="C10">
        <v>209</v>
      </c>
      <c r="D10">
        <v>8</v>
      </c>
      <c r="E10">
        <v>209.33333300000001</v>
      </c>
      <c r="F10" s="1">
        <v>44770</v>
      </c>
      <c r="G10" t="s">
        <v>29</v>
      </c>
      <c r="H10" s="4">
        <f>Stem_all!H10*6/1000</f>
        <v>3.3809999999999998</v>
      </c>
      <c r="I10" s="4">
        <f>Stem_all!I10*6/1000</f>
        <v>0.17160000000000003</v>
      </c>
      <c r="J10" s="4">
        <f>Stem_all!J10*6/1000</f>
        <v>5.3046000000000006</v>
      </c>
      <c r="K10" s="4">
        <f>Stem_all!K10*6/1000</f>
        <v>0.5855999999999999</v>
      </c>
      <c r="L10" s="4">
        <f>Stem_all!L10*6/1000</f>
        <v>7.7987999999999991</v>
      </c>
      <c r="M10" s="4">
        <f>Stem_all!M10*6/1000</f>
        <v>0.42959999999999998</v>
      </c>
      <c r="N10" s="4">
        <f>Stem_all!N10*6/1000</f>
        <v>2.0921999999999996</v>
      </c>
      <c r="O10" s="4">
        <f>Stem_all!O10*6/1000</f>
        <v>1.3200000000000002E-2</v>
      </c>
      <c r="P10" s="4">
        <f>Stem_all!P10*6/1000</f>
        <v>3.5532000000000004</v>
      </c>
      <c r="Q10" s="4">
        <f>Stem_all!Q10*6/1000</f>
        <v>5.890200000000001</v>
      </c>
      <c r="R10" s="4">
        <f>Stem_all!R10*6/1000</f>
        <v>8.2284000000000006</v>
      </c>
      <c r="S10" s="4">
        <f>Stem_all!S10*6/1000</f>
        <v>2.1053999999999995</v>
      </c>
      <c r="T10">
        <v>1</v>
      </c>
      <c r="U10">
        <v>1</v>
      </c>
      <c r="V10">
        <v>1</v>
      </c>
      <c r="W10">
        <v>1</v>
      </c>
      <c r="X10">
        <v>4</v>
      </c>
      <c r="Y10" s="8">
        <f t="shared" si="5"/>
        <v>0.3</v>
      </c>
      <c r="Z10" s="8">
        <f t="shared" si="6"/>
        <v>0.25632292133166706</v>
      </c>
      <c r="AA10" s="8">
        <f t="shared" si="0"/>
        <v>4.6441499999999998</v>
      </c>
      <c r="AB10" s="8">
        <f t="shared" si="1"/>
        <v>5.642343290961664</v>
      </c>
      <c r="AC10" s="9">
        <f t="shared" si="2"/>
        <v>0.9393222293012955</v>
      </c>
      <c r="AD10" s="8">
        <f t="shared" si="3"/>
        <v>4.9441499999999996</v>
      </c>
      <c r="AE10" s="8">
        <f t="shared" si="4"/>
        <v>2.6880117577867844</v>
      </c>
      <c r="AF10" s="10">
        <f t="shared" si="7"/>
        <v>0.54367520358136068</v>
      </c>
      <c r="AH10" s="5">
        <f t="shared" si="8"/>
        <v>43.82801102847656</v>
      </c>
    </row>
    <row r="11" spans="1:34" x14ac:dyDescent="0.2">
      <c r="A11" s="1">
        <v>37562</v>
      </c>
      <c r="B11" s="2">
        <v>0.54166666666666663</v>
      </c>
      <c r="C11">
        <v>209</v>
      </c>
      <c r="D11">
        <v>13</v>
      </c>
      <c r="E11">
        <v>209.54166699999999</v>
      </c>
      <c r="F11" s="1">
        <v>44770</v>
      </c>
      <c r="G11" t="s">
        <v>29</v>
      </c>
      <c r="H11" s="4">
        <f>Stem_all!H11*6/1000</f>
        <v>5.0616000000000003</v>
      </c>
      <c r="I11" s="4">
        <f>Stem_all!I11*6/1000</f>
        <v>0.70079999999999998</v>
      </c>
      <c r="J11" s="4">
        <f>Stem_all!J11*6/1000</f>
        <v>4.975200000000001</v>
      </c>
      <c r="K11" s="4">
        <f>Stem_all!K11*6/1000</f>
        <v>0.28620000000000007</v>
      </c>
      <c r="L11" s="4">
        <f>Stem_all!L11*6/1000</f>
        <v>3.3450000000000002</v>
      </c>
      <c r="M11" s="4">
        <f>Stem_all!M11*6/1000</f>
        <v>0.51359999999999995</v>
      </c>
      <c r="N11" s="4">
        <f>Stem_all!N11*6/1000</f>
        <v>2.2931999999999997</v>
      </c>
      <c r="O11" s="4">
        <f>Stem_all!O11*6/1000</f>
        <v>0.35579999999999995</v>
      </c>
      <c r="P11" s="4">
        <f>Stem_all!P11*6/1000</f>
        <v>5.7623999999999995</v>
      </c>
      <c r="Q11" s="4">
        <f>Stem_all!Q11*6/1000</f>
        <v>5.2614000000000001</v>
      </c>
      <c r="R11" s="4">
        <f>Stem_all!R11*6/1000</f>
        <v>3.8586000000000005</v>
      </c>
      <c r="S11" s="4">
        <f>Stem_all!S11*6/1000</f>
        <v>2.649</v>
      </c>
      <c r="T11">
        <v>1</v>
      </c>
      <c r="U11">
        <v>1</v>
      </c>
      <c r="V11">
        <v>1</v>
      </c>
      <c r="W11">
        <v>1</v>
      </c>
      <c r="X11">
        <v>4</v>
      </c>
      <c r="Y11" s="8">
        <f t="shared" si="5"/>
        <v>0.46409999999999996</v>
      </c>
      <c r="Z11" s="8">
        <f t="shared" si="6"/>
        <v>0.18425927385073457</v>
      </c>
      <c r="AA11" s="8">
        <f t="shared" si="0"/>
        <v>3.9187500000000002</v>
      </c>
      <c r="AB11" s="8">
        <f t="shared" si="1"/>
        <v>4.5158785975997873</v>
      </c>
      <c r="AC11" s="9">
        <f t="shared" si="2"/>
        <v>0.89410999691981241</v>
      </c>
      <c r="AD11" s="8">
        <f t="shared" si="3"/>
        <v>4.3828500000000004</v>
      </c>
      <c r="AE11" s="8">
        <f t="shared" si="4"/>
        <v>1.4090282928316242</v>
      </c>
      <c r="AF11" s="10">
        <f t="shared" si="7"/>
        <v>0.32148677067014025</v>
      </c>
      <c r="AH11" s="5">
        <f t="shared" si="8"/>
        <v>18.800914190976574</v>
      </c>
    </row>
    <row r="12" spans="1:34" x14ac:dyDescent="0.2">
      <c r="A12" s="1">
        <v>37198</v>
      </c>
      <c r="B12" s="2">
        <v>0.29166666666666669</v>
      </c>
      <c r="C12">
        <v>236</v>
      </c>
      <c r="D12">
        <v>8</v>
      </c>
      <c r="E12">
        <v>236.33333300000001</v>
      </c>
      <c r="F12" s="1">
        <v>44797</v>
      </c>
      <c r="G12" t="s">
        <v>30</v>
      </c>
      <c r="H12" s="4">
        <f>Stem_all!H12*6/1000</f>
        <v>1.7093999999999998</v>
      </c>
      <c r="I12" s="4">
        <f>Stem_all!I12*6/1000</f>
        <v>0.62579999999999991</v>
      </c>
      <c r="J12" s="4">
        <f>Stem_all!J12*6/1000</f>
        <v>1.3871999999999998</v>
      </c>
      <c r="K12" s="4">
        <f>Stem_all!K12*6/1000</f>
        <v>0.504</v>
      </c>
      <c r="L12" s="4">
        <f>Stem_all!L12*6/1000</f>
        <v>2.4048000000000003</v>
      </c>
      <c r="M12" s="4">
        <f>Stem_all!M12*6/1000</f>
        <v>0.876</v>
      </c>
      <c r="N12" s="4">
        <f>Stem_all!N12*6/1000</f>
        <v>0.94919999999999993</v>
      </c>
      <c r="O12" s="4">
        <f>Stem_all!O12*6/1000</f>
        <v>0.79500000000000004</v>
      </c>
      <c r="P12" s="4">
        <f>Stem_all!P12*6/1000</f>
        <v>2.3351999999999999</v>
      </c>
      <c r="Q12" s="4">
        <f>Stem_all!Q12*6/1000</f>
        <v>1.8911999999999998</v>
      </c>
      <c r="R12" s="4">
        <f>Stem_all!R12*6/1000</f>
        <v>3.2813999999999997</v>
      </c>
      <c r="S12" s="4">
        <f>Stem_all!S12*6/1000</f>
        <v>1.7441999999999998</v>
      </c>
      <c r="T12">
        <v>1</v>
      </c>
      <c r="U12">
        <v>1</v>
      </c>
      <c r="V12">
        <v>0</v>
      </c>
      <c r="W12">
        <v>1</v>
      </c>
      <c r="X12">
        <v>3</v>
      </c>
      <c r="Y12" s="11">
        <f t="shared" si="5"/>
        <v>0.64159999999999995</v>
      </c>
      <c r="Z12" s="11">
        <f t="shared" si="6"/>
        <v>0.14614198575358145</v>
      </c>
      <c r="AA12" s="11">
        <f t="shared" si="0"/>
        <v>1.3486</v>
      </c>
      <c r="AB12" s="11">
        <f t="shared" si="1"/>
        <v>1.5213321116830998</v>
      </c>
      <c r="AC12" s="12">
        <f t="shared" si="2"/>
        <v>0.67762033966435531</v>
      </c>
      <c r="AD12" s="11">
        <f t="shared" si="3"/>
        <v>1.9902</v>
      </c>
      <c r="AE12" s="11">
        <f t="shared" si="4"/>
        <v>0.30768652879188563</v>
      </c>
      <c r="AF12" s="13">
        <f t="shared" si="7"/>
        <v>0.15460080835689158</v>
      </c>
      <c r="AH12" s="5">
        <f t="shared" si="8"/>
        <v>1.2717395791699215</v>
      </c>
    </row>
    <row r="13" spans="1:34" x14ac:dyDescent="0.2">
      <c r="A13" s="1">
        <v>37563</v>
      </c>
      <c r="B13" s="2">
        <v>0.54166666666666663</v>
      </c>
      <c r="C13">
        <v>236</v>
      </c>
      <c r="D13">
        <v>13</v>
      </c>
      <c r="E13">
        <v>236.54166699999999</v>
      </c>
      <c r="F13" s="1">
        <v>44797</v>
      </c>
      <c r="G13" t="s">
        <v>30</v>
      </c>
      <c r="H13" s="4">
        <f>Stem_all!H13*6/1000</f>
        <v>1.8288000000000002</v>
      </c>
      <c r="I13" s="4">
        <f>Stem_all!I13*6/1000</f>
        <v>0.375</v>
      </c>
      <c r="J13" s="4">
        <f>Stem_all!J13*6/1000</f>
        <v>1.6716000000000002</v>
      </c>
      <c r="K13" s="4">
        <f>Stem_all!K13*6/1000</f>
        <v>0.67920000000000003</v>
      </c>
      <c r="L13" s="4">
        <f>Stem_all!L13*6/1000</f>
        <v>1.6986000000000001</v>
      </c>
      <c r="M13" s="4">
        <f>Stem_all!M13*6/1000</f>
        <v>1.4064000000000001</v>
      </c>
      <c r="N13" s="4">
        <f>Stem_all!N13*6/1000</f>
        <v>1.0914000000000001</v>
      </c>
      <c r="O13" s="4">
        <f>Stem_all!O13*6/1000</f>
        <v>1.1178000000000001</v>
      </c>
      <c r="P13" s="4">
        <f>Stem_all!P13*6/1000</f>
        <v>2.2043999999999997</v>
      </c>
      <c r="Q13" s="4">
        <f>Stem_all!Q13*6/1000</f>
        <v>2.3513999999999995</v>
      </c>
      <c r="R13" s="4">
        <f>Stem_all!R13*6/1000</f>
        <v>3.1043999999999996</v>
      </c>
      <c r="S13" s="4">
        <f>Stem_all!S13*6/1000</f>
        <v>2.2091999999999996</v>
      </c>
      <c r="T13">
        <v>1</v>
      </c>
      <c r="U13">
        <v>1</v>
      </c>
      <c r="V13">
        <v>0</v>
      </c>
      <c r="W13">
        <v>1</v>
      </c>
      <c r="X13">
        <v>3</v>
      </c>
      <c r="Y13" s="11">
        <f t="shared" si="5"/>
        <v>0.72400000000000009</v>
      </c>
      <c r="Z13" s="11">
        <f t="shared" si="6"/>
        <v>0.37342099566039405</v>
      </c>
      <c r="AA13" s="11">
        <f t="shared" si="0"/>
        <v>1.5306000000000004</v>
      </c>
      <c r="AB13" s="11">
        <f t="shared" si="1"/>
        <v>1.4695051249065461</v>
      </c>
      <c r="AC13" s="12">
        <f t="shared" si="2"/>
        <v>0.67887873680475475</v>
      </c>
      <c r="AD13" s="11">
        <f t="shared" si="3"/>
        <v>2.2546000000000004</v>
      </c>
      <c r="AE13" s="11">
        <f t="shared" si="4"/>
        <v>8.3355383749341774E-2</v>
      </c>
      <c r="AF13" s="13">
        <f t="shared" si="7"/>
        <v>3.6971251552089843E-2</v>
      </c>
      <c r="AH13" s="5">
        <f t="shared" si="8"/>
        <v>0.35311995166992094</v>
      </c>
    </row>
    <row r="14" spans="1:34" x14ac:dyDescent="0.2">
      <c r="A14" s="1">
        <v>37928</v>
      </c>
      <c r="B14" s="2">
        <v>0.79166666666666663</v>
      </c>
      <c r="C14">
        <v>236</v>
      </c>
      <c r="D14">
        <v>20</v>
      </c>
      <c r="E14">
        <v>236.83333300000001</v>
      </c>
      <c r="F14" s="1">
        <v>44797</v>
      </c>
      <c r="G14" t="s">
        <v>30</v>
      </c>
      <c r="H14" s="4">
        <f>Stem_all!H14*6/1000</f>
        <v>0.8388000000000001</v>
      </c>
      <c r="I14" s="4">
        <f>Stem_all!I14*6/1000</f>
        <v>2.0051999999999999</v>
      </c>
      <c r="J14" s="4">
        <f>Stem_all!J14*6/1000</f>
        <v>1.7063999999999999</v>
      </c>
      <c r="K14" s="4">
        <f>Stem_all!K14*6/1000</f>
        <v>0.76919999999999988</v>
      </c>
      <c r="L14" s="4">
        <f>Stem_all!L14*6/1000</f>
        <v>1.9806000000000001</v>
      </c>
      <c r="M14" s="4">
        <f>Stem_all!M14*6/1000</f>
        <v>1.1484000000000001</v>
      </c>
      <c r="N14" s="4">
        <f>Stem_all!N14*6/1000</f>
        <v>0.65100000000000002</v>
      </c>
      <c r="O14" s="4">
        <f>Stem_all!O14*6/1000</f>
        <v>0.68279999999999996</v>
      </c>
      <c r="P14" s="4">
        <f>Stem_all!P14*6/1000</f>
        <v>2.8439999999999999</v>
      </c>
      <c r="Q14" s="4">
        <f>Stem_all!Q14*6/1000</f>
        <v>2.4756000000000005</v>
      </c>
      <c r="R14" s="4">
        <f>Stem_all!R14*6/1000</f>
        <v>3.129</v>
      </c>
      <c r="S14" s="4">
        <f>Stem_all!S14*6/1000</f>
        <v>1.3338000000000001</v>
      </c>
      <c r="T14">
        <v>1</v>
      </c>
      <c r="U14">
        <v>1</v>
      </c>
      <c r="V14">
        <v>0</v>
      </c>
      <c r="W14">
        <v>1</v>
      </c>
      <c r="X14">
        <v>3</v>
      </c>
      <c r="Y14" s="11">
        <f t="shared" si="5"/>
        <v>1.1523999999999999</v>
      </c>
      <c r="Z14" s="11">
        <f t="shared" si="6"/>
        <v>0.73980884017427095</v>
      </c>
      <c r="AA14" s="11">
        <f t="shared" si="0"/>
        <v>1.0654000000000001</v>
      </c>
      <c r="AB14" s="11">
        <f t="shared" si="1"/>
        <v>0.6899219992397656</v>
      </c>
      <c r="AC14" s="12">
        <f t="shared" si="2"/>
        <v>0.48038596807647221</v>
      </c>
      <c r="AD14" s="11">
        <f t="shared" si="3"/>
        <v>2.2178</v>
      </c>
      <c r="AE14" s="11">
        <f t="shared" si="4"/>
        <v>0.7874145286950196</v>
      </c>
      <c r="AF14" s="13">
        <f t="shared" si="7"/>
        <v>0.35504307362928111</v>
      </c>
      <c r="AH14" s="5">
        <f t="shared" si="8"/>
        <v>1.6575771616699209</v>
      </c>
    </row>
    <row r="15" spans="1:34" x14ac:dyDescent="0.2">
      <c r="A15" s="1">
        <v>37199</v>
      </c>
      <c r="B15" s="2">
        <v>0.29166666666666669</v>
      </c>
      <c r="C15">
        <v>258</v>
      </c>
      <c r="D15">
        <v>8</v>
      </c>
      <c r="E15">
        <v>258.33333299999998</v>
      </c>
      <c r="F15" s="1">
        <v>44819</v>
      </c>
      <c r="G15" t="s">
        <v>31</v>
      </c>
      <c r="H15" s="4">
        <f>Stem_all!H15*6/1000</f>
        <v>2.3441999999999998</v>
      </c>
      <c r="I15" s="4">
        <f>Stem_all!I15*6/1000</f>
        <v>-8.9999999999999993E-3</v>
      </c>
      <c r="J15" s="4">
        <f>Stem_all!J15*6/1000</f>
        <v>3.36</v>
      </c>
      <c r="K15" s="4">
        <f>Stem_all!K15*6/1000</f>
        <v>0.19080000000000003</v>
      </c>
      <c r="L15" s="4">
        <f>Stem_all!L15*6/1000</f>
        <v>2.5698000000000003</v>
      </c>
      <c r="M15" s="4">
        <f>Stem_all!M15*6/1000</f>
        <v>0.48</v>
      </c>
      <c r="N15" s="4">
        <f>Stem_all!N15*6/1000</f>
        <v>0.61620000000000008</v>
      </c>
      <c r="O15" s="4">
        <f>Stem_all!O15*6/1000</f>
        <v>0.23160000000000003</v>
      </c>
      <c r="P15" s="4">
        <f>Stem_all!P15*6/1000</f>
        <v>2.3351999999999999</v>
      </c>
      <c r="Q15" s="4">
        <f>Stem_all!Q15*6/1000</f>
        <v>3.5513999999999997</v>
      </c>
      <c r="R15" s="4">
        <f>Stem_all!R15*6/1000</f>
        <v>3.0498000000000003</v>
      </c>
      <c r="S15" s="4">
        <f>Stem_all!S15*6/1000</f>
        <v>0.84780000000000011</v>
      </c>
      <c r="T15">
        <v>1</v>
      </c>
      <c r="U15">
        <v>1</v>
      </c>
      <c r="V15">
        <v>0</v>
      </c>
      <c r="W15">
        <v>1</v>
      </c>
      <c r="X15">
        <v>3</v>
      </c>
      <c r="Y15" s="14">
        <f t="shared" si="5"/>
        <v>0.13780000000000001</v>
      </c>
      <c r="Z15" s="14">
        <f t="shared" si="6"/>
        <v>0.12875884435641693</v>
      </c>
      <c r="AA15" s="14">
        <f t="shared" si="0"/>
        <v>2.1068000000000002</v>
      </c>
      <c r="AB15" s="14">
        <f t="shared" si="1"/>
        <v>2.7916570169219752</v>
      </c>
      <c r="AC15" s="15">
        <f t="shared" si="2"/>
        <v>0.93860821527220895</v>
      </c>
      <c r="AD15" s="14">
        <f t="shared" si="3"/>
        <v>2.2446000000000002</v>
      </c>
      <c r="AE15" s="14">
        <f t="shared" si="4"/>
        <v>1.3537756534965457</v>
      </c>
      <c r="AF15" s="16">
        <f t="shared" si="7"/>
        <v>0.60312556958769736</v>
      </c>
      <c r="AH15" s="5">
        <f t="shared" si="8"/>
        <v>4.0251166891699208</v>
      </c>
    </row>
    <row r="16" spans="1:34" x14ac:dyDescent="0.2">
      <c r="A16" s="1">
        <v>37564</v>
      </c>
      <c r="B16" s="2">
        <v>0.54166666666666663</v>
      </c>
      <c r="C16">
        <v>258</v>
      </c>
      <c r="D16">
        <v>13</v>
      </c>
      <c r="E16">
        <v>258.54166700000002</v>
      </c>
      <c r="F16" s="1">
        <v>44819</v>
      </c>
      <c r="G16" t="s">
        <v>31</v>
      </c>
      <c r="H16" s="4">
        <f>Stem_all!H16*6/1000</f>
        <v>1.8653999999999999</v>
      </c>
      <c r="I16" s="4">
        <f>Stem_all!I16*6/1000</f>
        <v>-3.3599999999999991E-2</v>
      </c>
      <c r="J16" s="4">
        <f>Stem_all!J16*6/1000</f>
        <v>4.1837999999999989</v>
      </c>
      <c r="K16" s="4">
        <f>Stem_all!K16*6/1000</f>
        <v>3.2400000000000005E-2</v>
      </c>
      <c r="L16" s="4">
        <f>Stem_all!L16*6/1000</f>
        <v>1.3128000000000002</v>
      </c>
      <c r="M16" s="4">
        <f>Stem_all!M16*6/1000</f>
        <v>0.66120000000000001</v>
      </c>
      <c r="N16" s="4">
        <f>Stem_all!N16*6/1000</f>
        <v>1.3758000000000001</v>
      </c>
      <c r="O16" s="4">
        <f>Stem_all!O16*6/1000</f>
        <v>1.7406000000000001</v>
      </c>
      <c r="P16" s="4">
        <f>Stem_all!P16*6/1000</f>
        <v>1.8318000000000001</v>
      </c>
      <c r="Q16" s="4">
        <f>Stem_all!Q16*6/1000</f>
        <v>4.2162000000000006</v>
      </c>
      <c r="R16" s="4">
        <f>Stem_all!R16*6/1000</f>
        <v>1.974</v>
      </c>
      <c r="S16" s="4">
        <f>Stem_all!S16*6/1000</f>
        <v>3.1163999999999996</v>
      </c>
      <c r="T16">
        <v>0</v>
      </c>
      <c r="U16">
        <v>1</v>
      </c>
      <c r="V16">
        <v>0</v>
      </c>
      <c r="W16">
        <v>1</v>
      </c>
      <c r="X16">
        <v>2</v>
      </c>
      <c r="Y16" s="14">
        <f t="shared" si="5"/>
        <v>0.88650000000000007</v>
      </c>
      <c r="Z16" s="14">
        <f t="shared" si="6"/>
        <v>1.2078798036228606</v>
      </c>
      <c r="AA16" s="14">
        <f t="shared" si="0"/>
        <v>2.7797999999999994</v>
      </c>
      <c r="AB16" s="14">
        <f t="shared" si="1"/>
        <v>2.9806539899083693</v>
      </c>
      <c r="AC16" s="15">
        <f t="shared" si="2"/>
        <v>0.75820309303657629</v>
      </c>
      <c r="AD16" s="14">
        <f t="shared" si="3"/>
        <v>3.6662999999999997</v>
      </c>
      <c r="AE16" s="14">
        <f t="shared" si="4"/>
        <v>0.77767603794896378</v>
      </c>
      <c r="AF16" s="16">
        <f t="shared" si="7"/>
        <v>0.21211467636280823</v>
      </c>
      <c r="AH16" s="5">
        <f t="shared" si="8"/>
        <v>2.9178982098632789</v>
      </c>
    </row>
    <row r="17" spans="1:34" x14ac:dyDescent="0.2">
      <c r="A17" s="1">
        <v>37929</v>
      </c>
      <c r="B17" s="2">
        <v>0.79166666666666663</v>
      </c>
      <c r="C17">
        <v>258</v>
      </c>
      <c r="D17">
        <v>20</v>
      </c>
      <c r="E17">
        <v>258.83333299999998</v>
      </c>
      <c r="F17" s="1">
        <v>44819</v>
      </c>
      <c r="G17" t="s">
        <v>31</v>
      </c>
      <c r="H17" s="4">
        <f>Stem_all!H17*6/1000</f>
        <v>1.8708000000000002</v>
      </c>
      <c r="I17" s="4">
        <f>Stem_all!I17*6/1000</f>
        <v>-6.6000000000000008E-3</v>
      </c>
      <c r="J17" s="4">
        <f>Stem_all!J17*6/1000</f>
        <v>2.9543999999999997</v>
      </c>
      <c r="K17" s="4">
        <f>Stem_all!K17*6/1000</f>
        <v>0.14280000000000001</v>
      </c>
      <c r="L17" s="4">
        <f>Stem_all!L17*6/1000</f>
        <v>3.8003999999999998</v>
      </c>
      <c r="M17" s="4">
        <f>Stem_all!M17*6/1000</f>
        <v>0.35820000000000002</v>
      </c>
      <c r="N17" s="4">
        <f>Stem_all!N17*6/1000</f>
        <v>1.9331999999999998</v>
      </c>
      <c r="O17" s="4">
        <f>Stem_all!O17*6/1000</f>
        <v>0.44879999999999998</v>
      </c>
      <c r="P17" s="4">
        <f>Stem_all!P17*6/1000</f>
        <v>1.8641999999999999</v>
      </c>
      <c r="Q17" s="4">
        <f>Stem_all!Q17*6/1000</f>
        <v>3.0972000000000004</v>
      </c>
      <c r="R17" s="4">
        <f>Stem_all!R17*6/1000</f>
        <v>4.1586000000000007</v>
      </c>
      <c r="S17" s="4">
        <f>Stem_all!S17*6/1000</f>
        <v>2.3820000000000001</v>
      </c>
      <c r="T17">
        <v>0</v>
      </c>
      <c r="U17">
        <v>1</v>
      </c>
      <c r="V17">
        <v>0</v>
      </c>
      <c r="W17">
        <v>1</v>
      </c>
      <c r="X17">
        <v>2</v>
      </c>
      <c r="Y17" s="14">
        <f t="shared" si="5"/>
        <v>0.29580000000000001</v>
      </c>
      <c r="Z17" s="14">
        <f>SQRT((((I17-$Y17)^2)*T17+((K17-$Y17)^2)*U17+((M17-$Y17)^2)*V17+((O17-$Y17)^2)*W17)/(X17-1))</f>
        <v>0.21637467504308353</v>
      </c>
      <c r="AA17" s="14">
        <f t="shared" si="0"/>
        <v>2.4437999999999995</v>
      </c>
      <c r="AB17" s="14">
        <f t="shared" si="1"/>
        <v>3.2317598729668711</v>
      </c>
      <c r="AC17" s="15">
        <f t="shared" si="2"/>
        <v>0.8920280332895314</v>
      </c>
      <c r="AD17" s="14">
        <f t="shared" si="3"/>
        <v>2.7395999999999994</v>
      </c>
      <c r="AE17" s="14">
        <f t="shared" si="4"/>
        <v>0.50572276990461873</v>
      </c>
      <c r="AF17" s="16">
        <f t="shared" si="7"/>
        <v>0.18459730249110046</v>
      </c>
      <c r="AH17" s="5">
        <f t="shared" si="8"/>
        <v>0.29999934861328104</v>
      </c>
    </row>
    <row r="18" spans="1:34" x14ac:dyDescent="0.2">
      <c r="A18" s="1">
        <v>37200</v>
      </c>
      <c r="B18" s="2">
        <v>0.5</v>
      </c>
      <c r="C18">
        <v>278</v>
      </c>
      <c r="D18">
        <v>12</v>
      </c>
      <c r="E18">
        <v>278.5</v>
      </c>
      <c r="F18" s="1">
        <v>44839</v>
      </c>
      <c r="G18" t="s">
        <v>32</v>
      </c>
      <c r="H18" s="4">
        <f>Stem_all!H18*6/1000</f>
        <v>9.8399999999999987E-2</v>
      </c>
      <c r="I18" s="4">
        <f>Stem_all!I18*6/1000</f>
        <v>-2.8799999999999996E-2</v>
      </c>
      <c r="J18" s="4">
        <f>Stem_all!J18*6/1000</f>
        <v>0.36599999999999999</v>
      </c>
      <c r="K18" s="4">
        <f>Stem_all!K18*6/1000</f>
        <v>0.22139999999999999</v>
      </c>
      <c r="L18" s="4">
        <f>Stem_all!L18*6/1000</f>
        <v>0.35460000000000003</v>
      </c>
      <c r="M18" s="4">
        <f>Stem_all!M18*6/1000</f>
        <v>0.92940000000000011</v>
      </c>
      <c r="N18" s="4">
        <f>Stem_all!N18*6/1000</f>
        <v>8.7599999999999997E-2</v>
      </c>
      <c r="O18" s="4">
        <f>Stem_all!O18*6/1000</f>
        <v>0</v>
      </c>
      <c r="P18" s="4">
        <f>Stem_all!P18*6/1000</f>
        <v>6.9000000000000006E-2</v>
      </c>
      <c r="Q18" s="4">
        <f>Stem_all!Q18*6/1000</f>
        <v>0.58740000000000014</v>
      </c>
      <c r="R18" s="4">
        <f>Stem_all!R18*6/1000</f>
        <v>1.284</v>
      </c>
      <c r="S18" s="4">
        <f>Stem_all!S18*6/1000</f>
        <v>8.7599999999999997E-2</v>
      </c>
      <c r="T18">
        <v>0</v>
      </c>
      <c r="U18">
        <v>0</v>
      </c>
      <c r="V18">
        <v>0</v>
      </c>
      <c r="W18">
        <v>1</v>
      </c>
      <c r="X18">
        <v>1</v>
      </c>
      <c r="Y18" s="14">
        <f t="shared" si="5"/>
        <v>0</v>
      </c>
      <c r="Z18" s="14">
        <f>SQRT((((I18-$Y18)^2)*T18+((K18-$Y18)^2)*U18+((M18-$Y18)^2)*V18+((O18-$Y18)^2)*W18)/(X18))</f>
        <v>0</v>
      </c>
      <c r="AA18" s="14">
        <f t="shared" si="0"/>
        <v>8.7599999999999997E-2</v>
      </c>
      <c r="AB18" s="14">
        <f>SQRT((((H18-$Z18)^2)*T18+((J18-$Z18)^2)*U18+((L18-$Z18)^2)*V18+((N18-$Z18)^2)*W18)/(X18))</f>
        <v>8.7599999999999997E-2</v>
      </c>
      <c r="AC18" s="15">
        <f t="shared" ref="AC18" si="9">AA18/(Y18+AA18)</f>
        <v>1</v>
      </c>
      <c r="AD18" s="14">
        <f t="shared" ref="AD18" si="10">Y18+AA18</f>
        <v>8.7599999999999997E-2</v>
      </c>
      <c r="AE18" s="14">
        <f>SQRT((((H18+I18-$AD18)^2)*T18+((J18+K18-$AD18)^2)*U18+((L18+M18-$AD18)^2)*V18+((N18+O18-$AD18)^2)*W18)/(X18))</f>
        <v>0</v>
      </c>
      <c r="AF18" s="16">
        <f t="shared" ref="AF18" si="11">AE18/AD18</f>
        <v>0</v>
      </c>
      <c r="AH18" s="5">
        <f t="shared" si="8"/>
        <v>6.2663387893066389</v>
      </c>
    </row>
    <row r="19" spans="1:34" x14ac:dyDescent="0.2">
      <c r="AD19" s="14">
        <f>AVERAGE(AD3:AD18)</f>
        <v>2.5908656249999997</v>
      </c>
      <c r="AH19" s="5">
        <f>SQRT(SUM(AH2:AH17)/(SUM(X2:X17)-1))</f>
        <v>1.5450221749590238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962FA-2A59-CD47-9073-B9A4D08DEA4D}">
  <dimension ref="A1:AH19"/>
  <sheetViews>
    <sheetView tabSelected="1" topLeftCell="T1" workbookViewId="0">
      <selection activeCell="AK22" sqref="AK22:AK23"/>
    </sheetView>
  </sheetViews>
  <sheetFormatPr baseColWidth="10" defaultRowHeight="16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24</v>
      </c>
      <c r="AE1" t="s">
        <v>25</v>
      </c>
      <c r="AF1" t="s">
        <v>26</v>
      </c>
      <c r="AH1" t="s">
        <v>38</v>
      </c>
    </row>
    <row r="2" spans="1:34" x14ac:dyDescent="0.2">
      <c r="A2" s="1">
        <v>37196</v>
      </c>
      <c r="B2" s="2">
        <v>0.41666666666666669</v>
      </c>
      <c r="C2">
        <v>186</v>
      </c>
      <c r="D2">
        <v>11</v>
      </c>
      <c r="E2">
        <v>186.45833300000001</v>
      </c>
      <c r="F2" s="1">
        <v>44747</v>
      </c>
      <c r="G2" t="s">
        <v>27</v>
      </c>
      <c r="H2" s="4">
        <f>Stem_all!H2*0.18</f>
        <v>64.385999999999996</v>
      </c>
      <c r="I2" s="4">
        <f>Stem_all!I2*0.18</f>
        <v>10.241999999999999</v>
      </c>
      <c r="J2" s="4">
        <f>Stem_all!J2*0.18</f>
        <v>83.73599999999999</v>
      </c>
      <c r="K2" s="4">
        <f>Stem_all!K2*0.18</f>
        <v>101.42999999999999</v>
      </c>
      <c r="L2" s="4">
        <f>Stem_all!L2*0.18</f>
        <v>175.84199999999998</v>
      </c>
      <c r="M2" s="4">
        <f>Stem_all!M2*0.18</f>
        <v>32.201999999999998</v>
      </c>
      <c r="N2" s="4">
        <f>Stem_all!N2*0.18</f>
        <v>58.698</v>
      </c>
      <c r="O2" s="4">
        <f>Stem_all!O2*0.18</f>
        <v>5.8139999999999992</v>
      </c>
      <c r="P2" s="4">
        <f>Stem_all!P2*0.18</f>
        <v>74.646000000000001</v>
      </c>
      <c r="Q2" s="4">
        <f>Stem_all!Q2*0.18</f>
        <v>185.184</v>
      </c>
      <c r="R2" s="4">
        <f>Stem_all!R2*0.18</f>
        <v>208.04399999999998</v>
      </c>
      <c r="S2" s="4">
        <f>Stem_all!S2*0.18</f>
        <v>64.512</v>
      </c>
      <c r="T2">
        <v>1</v>
      </c>
      <c r="U2">
        <v>1</v>
      </c>
      <c r="V2">
        <v>0</v>
      </c>
      <c r="W2">
        <v>1</v>
      </c>
      <c r="X2">
        <v>3</v>
      </c>
      <c r="Y2" s="5">
        <f>(I2*T2+K2*U2+M2*V2+O2*W2)/X2</f>
        <v>39.161999999999999</v>
      </c>
      <c r="Z2" s="5">
        <f>SQRT((((I2-$Y2)^2)*T2+((K2-$Y2)^2)*U2+((M2-$Y2)^2)*V2+((O2-$Y2)^2)*W2)/(X2-1))</f>
        <v>53.97110026671681</v>
      </c>
      <c r="AA2" s="5">
        <f t="shared" ref="AA2:AA18" si="0">(H2*T2+J2*U2+L2*V2+N2*W2)/X2</f>
        <v>68.94</v>
      </c>
      <c r="AB2" s="5">
        <f t="shared" ref="AB2:AB18" si="1">SQRT((((H2-$Z2)^2)*T2+((J2-$Z2)^2)*U2+((L2-$Z2)^2)*V2+((N2-$Z2)^2)*W2)/(X2-1))</f>
        <v>22.547316621665381</v>
      </c>
      <c r="AC2" s="6">
        <f t="shared" ref="AC2:AC18" si="2">AA2/(Y2+AA2)</f>
        <v>0.63773103180329682</v>
      </c>
      <c r="AD2" s="5">
        <f t="shared" ref="AD2:AD18" si="3">Y2+AA2</f>
        <v>108.102</v>
      </c>
      <c r="AE2" s="5">
        <f t="shared" ref="AE2:AE17" si="4">SQRT((((H2+I2-$AD2)^2)*T2+((J2+K2-$AD2)^2)*U2+((L2+M2-$AD2)^2)*V2+((N2+O2-$AD2)^2)*W2)/(X2-1))</f>
        <v>66.930773460344824</v>
      </c>
      <c r="AF2" s="7">
        <f>AE2/AD2</f>
        <v>0.61914463618013382</v>
      </c>
      <c r="AH2" s="5">
        <f>((H2+I2-$AD$19)^2)*T2+((J2+K2-$AD$19)^2)*U2+((L2+M2-$AD$19)^2)*V2+((N2+O2-$AD$19)^2)*W2</f>
        <v>11727.566695502928</v>
      </c>
    </row>
    <row r="3" spans="1:34" x14ac:dyDescent="0.2">
      <c r="A3" s="1">
        <v>37561</v>
      </c>
      <c r="B3" s="2">
        <v>0.54166666666666663</v>
      </c>
      <c r="C3">
        <v>186</v>
      </c>
      <c r="D3">
        <v>14</v>
      </c>
      <c r="E3">
        <v>186.58333300000001</v>
      </c>
      <c r="F3" s="1">
        <v>44747</v>
      </c>
      <c r="G3" t="s">
        <v>27</v>
      </c>
      <c r="H3" s="4">
        <f>Stem_all!H3*0.18</f>
        <v>81.36</v>
      </c>
      <c r="I3" s="4">
        <f>Stem_all!I3*0.18</f>
        <v>33.353999999999999</v>
      </c>
      <c r="J3" s="4">
        <f>Stem_all!J3*0.18</f>
        <v>30.635999999999996</v>
      </c>
      <c r="K3" s="4">
        <f>Stem_all!K3*0.18</f>
        <v>40.572000000000003</v>
      </c>
      <c r="L3" s="4">
        <f>Stem_all!L3*0.18</f>
        <v>51.335999999999999</v>
      </c>
      <c r="M3" s="4">
        <f>Stem_all!M3*0.18</f>
        <v>19.439999999999998</v>
      </c>
      <c r="N3" s="4">
        <f>Stem_all!N3*0.18</f>
        <v>42.39</v>
      </c>
      <c r="O3" s="4">
        <f>Stem_all!O3*0.18</f>
        <v>13.896000000000001</v>
      </c>
      <c r="P3" s="4">
        <f>Stem_all!P3*0.18</f>
        <v>114.71399999999998</v>
      </c>
      <c r="Q3" s="4">
        <f>Stem_all!Q3*0.18</f>
        <v>71.207999999999998</v>
      </c>
      <c r="R3" s="4">
        <f>Stem_all!R3*0.18</f>
        <v>70.775999999999996</v>
      </c>
      <c r="S3" s="4">
        <f>Stem_all!S3*0.18</f>
        <v>56.285999999999994</v>
      </c>
      <c r="T3">
        <v>1</v>
      </c>
      <c r="U3">
        <v>0</v>
      </c>
      <c r="V3">
        <v>0</v>
      </c>
      <c r="W3">
        <v>1</v>
      </c>
      <c r="X3">
        <v>2</v>
      </c>
      <c r="Y3" s="5">
        <f t="shared" ref="Y3:Y18" si="5">(I3*T3+K3*U3+M3*V3+O3*W3)/X3</f>
        <v>23.625</v>
      </c>
      <c r="Z3" s="5">
        <f t="shared" ref="Z3:Z16" si="6">SQRT((((I3-$Y3)^2)*T3+((K3-$Y3)^2)*U3+((M3-$Y3)^2)*V3+((O3-$Y3)^2)*W3)/(X3-1))</f>
        <v>13.758883748327841</v>
      </c>
      <c r="AA3" s="5">
        <f t="shared" si="0"/>
        <v>61.875</v>
      </c>
      <c r="AB3" s="5">
        <f t="shared" si="1"/>
        <v>73.414247502026868</v>
      </c>
      <c r="AC3" s="6">
        <f t="shared" si="2"/>
        <v>0.72368421052631582</v>
      </c>
      <c r="AD3" s="5">
        <f t="shared" si="3"/>
        <v>85.5</v>
      </c>
      <c r="AE3" s="5">
        <f t="shared" si="4"/>
        <v>41.314835011167595</v>
      </c>
      <c r="AF3" s="7">
        <f t="shared" ref="AF3:AF18" si="7">AE3/AD3</f>
        <v>0.48321444457505958</v>
      </c>
      <c r="AH3" s="5">
        <f t="shared" ref="AH3:AH18" si="8">((H3+I3-$AD$19)^2)*T3+((J3+K3-$AD$19)^2)*U3+((L3+M3-$AD$19)^2)*V3+((N3+O3-$AD$19)^2)*W3</f>
        <v>1827.7867157519529</v>
      </c>
    </row>
    <row r="4" spans="1:34" x14ac:dyDescent="0.2">
      <c r="A4" s="1">
        <v>37926</v>
      </c>
      <c r="B4" s="2">
        <v>0.66666666666666663</v>
      </c>
      <c r="C4">
        <v>186</v>
      </c>
      <c r="D4">
        <v>17</v>
      </c>
      <c r="E4">
        <v>186.70833300000001</v>
      </c>
      <c r="F4" s="1">
        <v>44747</v>
      </c>
      <c r="G4" t="s">
        <v>27</v>
      </c>
      <c r="H4" s="4">
        <f>Stem_all!H4*0.18</f>
        <v>57.311999999999991</v>
      </c>
      <c r="I4" s="4">
        <f>Stem_all!I4*0.18</f>
        <v>7.2719999999999994</v>
      </c>
      <c r="J4" s="4">
        <f>Stem_all!J4*0.18</f>
        <v>61.253999999999998</v>
      </c>
      <c r="K4" s="4">
        <f>Stem_all!K4*0.18</f>
        <v>32.67</v>
      </c>
      <c r="L4" s="4">
        <f>Stem_all!L4*0.18</f>
        <v>26.945999999999998</v>
      </c>
      <c r="M4" s="4">
        <f>Stem_all!M4*0.18</f>
        <v>86.238</v>
      </c>
      <c r="N4" s="4">
        <f>Stem_all!N4*0.18</f>
        <v>29.195999999999998</v>
      </c>
      <c r="O4" s="4">
        <f>Stem_all!O4*0.18</f>
        <v>31.95</v>
      </c>
      <c r="P4" s="4">
        <f>Stem_all!P4*0.18</f>
        <v>64.584000000000003</v>
      </c>
      <c r="Q4" s="4">
        <f>Stem_all!Q4*0.18</f>
        <v>93.923999999999992</v>
      </c>
      <c r="R4" s="4">
        <f>Stem_all!R4*0.18</f>
        <v>113.18399999999998</v>
      </c>
      <c r="S4" s="4">
        <f>Stem_all!S4*0.18</f>
        <v>61.145999999999994</v>
      </c>
      <c r="T4">
        <v>1</v>
      </c>
      <c r="U4">
        <v>1</v>
      </c>
      <c r="V4">
        <v>0</v>
      </c>
      <c r="W4">
        <v>1</v>
      </c>
      <c r="X4">
        <v>3</v>
      </c>
      <c r="Y4" s="5">
        <f t="shared" si="5"/>
        <v>23.963999999999999</v>
      </c>
      <c r="Z4" s="5">
        <f t="shared" si="6"/>
        <v>14.460178007203094</v>
      </c>
      <c r="AA4" s="5">
        <f t="shared" si="0"/>
        <v>49.253999999999998</v>
      </c>
      <c r="AB4" s="5">
        <f t="shared" si="1"/>
        <v>46.060204486081652</v>
      </c>
      <c r="AC4" s="6">
        <f t="shared" si="2"/>
        <v>0.67270343358190621</v>
      </c>
      <c r="AD4" s="5">
        <f t="shared" si="3"/>
        <v>73.217999999999989</v>
      </c>
      <c r="AE4" s="5">
        <f t="shared" si="4"/>
        <v>18.014127455971888</v>
      </c>
      <c r="AF4" s="7">
        <f t="shared" si="7"/>
        <v>0.24603413717899822</v>
      </c>
      <c r="AH4" s="5">
        <f t="shared" si="8"/>
        <v>709.98292275293034</v>
      </c>
    </row>
    <row r="5" spans="1:34" x14ac:dyDescent="0.2">
      <c r="A5" s="1">
        <v>38292</v>
      </c>
      <c r="B5" s="2">
        <v>0.79166666666666663</v>
      </c>
      <c r="C5">
        <v>186</v>
      </c>
      <c r="D5">
        <v>20</v>
      </c>
      <c r="E5">
        <v>186.83333300000001</v>
      </c>
      <c r="F5" s="1">
        <v>44747</v>
      </c>
      <c r="G5" t="s">
        <v>27</v>
      </c>
      <c r="H5" s="4">
        <f>Stem_all!H5*0.18</f>
        <v>41.507999999999996</v>
      </c>
      <c r="I5" s="4">
        <f>Stem_all!I5*0.18</f>
        <v>38.393999999999998</v>
      </c>
      <c r="J5" s="4">
        <f>Stem_all!J5*0.18</f>
        <v>41.975999999999999</v>
      </c>
      <c r="K5" s="4">
        <f>Stem_all!K5*0.18</f>
        <v>23.417999999999999</v>
      </c>
      <c r="L5" s="4">
        <f>Stem_all!L5*0.18</f>
        <v>86.075999999999993</v>
      </c>
      <c r="M5" s="4">
        <f>Stem_all!M5*0.18</f>
        <v>74.051999999999992</v>
      </c>
      <c r="N5" s="4">
        <f>Stem_all!N5*0.18</f>
        <v>34.019999999999996</v>
      </c>
      <c r="O5" s="4">
        <f>Stem_all!O5*0.18</f>
        <v>8.4239999999999995</v>
      </c>
      <c r="P5" s="4">
        <f>Stem_all!P5*0.18</f>
        <v>79.901999999999987</v>
      </c>
      <c r="Q5" s="4">
        <f>Stem_all!Q5*0.18</f>
        <v>65.394000000000005</v>
      </c>
      <c r="R5" s="4">
        <f>Stem_all!R5*0.18</f>
        <v>160.12799999999999</v>
      </c>
      <c r="S5" s="4">
        <f>Stem_all!S5*0.18</f>
        <v>42.444000000000003</v>
      </c>
      <c r="T5">
        <v>1</v>
      </c>
      <c r="U5">
        <v>1</v>
      </c>
      <c r="V5">
        <v>0</v>
      </c>
      <c r="W5">
        <v>1</v>
      </c>
      <c r="X5">
        <v>3</v>
      </c>
      <c r="Y5" s="5">
        <f t="shared" si="5"/>
        <v>23.411999999999995</v>
      </c>
      <c r="Z5" s="5">
        <f t="shared" si="6"/>
        <v>14.985000900900873</v>
      </c>
      <c r="AA5" s="5">
        <f t="shared" si="0"/>
        <v>39.167999999999999</v>
      </c>
      <c r="AB5" s="5">
        <f t="shared" si="1"/>
        <v>29.952585066076413</v>
      </c>
      <c r="AC5" s="6">
        <f t="shared" si="2"/>
        <v>0.62588686481303935</v>
      </c>
      <c r="AD5" s="5">
        <f t="shared" si="3"/>
        <v>62.58</v>
      </c>
      <c r="AE5" s="5">
        <f t="shared" si="4"/>
        <v>18.886884020398913</v>
      </c>
      <c r="AF5" s="7">
        <f t="shared" si="7"/>
        <v>0.3018038354170488</v>
      </c>
      <c r="AH5" s="5">
        <f t="shared" si="8"/>
        <v>1401.6298841279304</v>
      </c>
    </row>
    <row r="6" spans="1:34" x14ac:dyDescent="0.2">
      <c r="A6" s="1">
        <v>38657</v>
      </c>
      <c r="B6" s="2">
        <v>0.91666666666666663</v>
      </c>
      <c r="C6">
        <v>186</v>
      </c>
      <c r="D6">
        <v>23</v>
      </c>
      <c r="E6">
        <v>186.95833300000001</v>
      </c>
      <c r="F6" s="1">
        <v>44747</v>
      </c>
      <c r="G6" t="s">
        <v>27</v>
      </c>
      <c r="H6" s="4">
        <f>Stem_all!H6*0.18</f>
        <v>51.515999999999998</v>
      </c>
      <c r="I6" s="4">
        <f>Stem_all!I6*0.18</f>
        <v>48.131999999999991</v>
      </c>
      <c r="J6" s="4">
        <f>Stem_all!J6*0.18</f>
        <v>42.839999999999996</v>
      </c>
      <c r="K6" s="4">
        <f>Stem_all!K6*0.18</f>
        <v>44.207999999999998</v>
      </c>
      <c r="L6" s="4">
        <f>Stem_all!L6*0.18</f>
        <v>13.392000000000001</v>
      </c>
      <c r="M6" s="4">
        <f>Stem_all!M6*0.18</f>
        <v>68.724000000000004</v>
      </c>
      <c r="N6" s="4">
        <f>Stem_all!N6*0.18</f>
        <v>16.884</v>
      </c>
      <c r="O6" s="4">
        <f>Stem_all!O6*0.18</f>
        <v>75.545999999999992</v>
      </c>
      <c r="P6" s="4">
        <f>Stem_all!P6*0.18</f>
        <v>99.647999999999996</v>
      </c>
      <c r="Q6" s="4">
        <f>Stem_all!Q6*0.18</f>
        <v>87.03</v>
      </c>
      <c r="R6" s="4">
        <f>Stem_all!R6*0.18</f>
        <v>82.116</v>
      </c>
      <c r="S6" s="4">
        <f>Stem_all!S6*0.18</f>
        <v>92.429999999999993</v>
      </c>
      <c r="T6">
        <v>1</v>
      </c>
      <c r="U6">
        <v>1</v>
      </c>
      <c r="V6">
        <v>1</v>
      </c>
      <c r="W6">
        <v>1</v>
      </c>
      <c r="X6">
        <v>4</v>
      </c>
      <c r="Y6" s="5">
        <f t="shared" si="5"/>
        <v>59.152499999999996</v>
      </c>
      <c r="Z6" s="5">
        <f t="shared" si="6"/>
        <v>15.331339961007975</v>
      </c>
      <c r="AA6" s="5">
        <f t="shared" si="0"/>
        <v>31.157999999999998</v>
      </c>
      <c r="AB6" s="5">
        <f t="shared" si="1"/>
        <v>26.281982370433344</v>
      </c>
      <c r="AC6" s="6">
        <f t="shared" si="2"/>
        <v>0.34500971647815037</v>
      </c>
      <c r="AD6" s="5">
        <f t="shared" si="3"/>
        <v>90.31049999999999</v>
      </c>
      <c r="AE6" s="5">
        <f t="shared" si="4"/>
        <v>7.516092136210144</v>
      </c>
      <c r="AF6" s="7">
        <f t="shared" si="7"/>
        <v>8.3225008567222467E-2</v>
      </c>
      <c r="AH6" s="5">
        <f t="shared" si="8"/>
        <v>802.95663012890509</v>
      </c>
    </row>
    <row r="7" spans="1:34" x14ac:dyDescent="0.2">
      <c r="A7" s="1">
        <v>39022</v>
      </c>
      <c r="B7" s="2">
        <v>4.1666666666666664E-2</v>
      </c>
      <c r="C7">
        <v>187</v>
      </c>
      <c r="D7">
        <v>2</v>
      </c>
      <c r="E7">
        <v>187.08333300000001</v>
      </c>
      <c r="F7" s="1">
        <v>44748</v>
      </c>
      <c r="G7" t="s">
        <v>28</v>
      </c>
      <c r="H7" s="4">
        <f>Stem_all!H7*0.18</f>
        <v>36.414000000000001</v>
      </c>
      <c r="I7" s="4">
        <f>Stem_all!I7*0.18</f>
        <v>23.615999999999996</v>
      </c>
      <c r="J7" s="4">
        <f>Stem_all!J7*0.18</f>
        <v>57.239999999999995</v>
      </c>
      <c r="K7" s="4">
        <f>Stem_all!K7*0.18</f>
        <v>32.597999999999999</v>
      </c>
      <c r="L7" s="4">
        <f>Stem_all!L7*0.18</f>
        <v>25.307999999999996</v>
      </c>
      <c r="M7" s="4">
        <f>Stem_all!M7*0.18</f>
        <v>127.27800000000001</v>
      </c>
      <c r="N7" s="4">
        <f>Stem_all!N7*0.18</f>
        <v>55.404000000000003</v>
      </c>
      <c r="O7" s="4">
        <f>Stem_all!O7*0.18</f>
        <v>100.76399999999998</v>
      </c>
      <c r="P7" s="4">
        <f>Stem_all!P7*0.18</f>
        <v>60.048000000000002</v>
      </c>
      <c r="Q7" s="4">
        <f>Stem_all!Q7*0.18</f>
        <v>89.837999999999994</v>
      </c>
      <c r="R7" s="4">
        <f>Stem_all!R7*0.18</f>
        <v>152.58600000000001</v>
      </c>
      <c r="S7" s="4">
        <f>Stem_all!S7*0.18</f>
        <v>156.16800000000001</v>
      </c>
      <c r="T7">
        <v>1</v>
      </c>
      <c r="U7">
        <v>1</v>
      </c>
      <c r="V7">
        <v>0</v>
      </c>
      <c r="W7">
        <v>1</v>
      </c>
      <c r="X7">
        <v>3</v>
      </c>
      <c r="Y7" s="5">
        <f t="shared" si="5"/>
        <v>52.325999999999993</v>
      </c>
      <c r="Z7" s="5">
        <f t="shared" si="6"/>
        <v>42.188256233222049</v>
      </c>
      <c r="AA7" s="5">
        <f t="shared" si="0"/>
        <v>49.686</v>
      </c>
      <c r="AB7" s="5">
        <f t="shared" si="1"/>
        <v>14.740300349327567</v>
      </c>
      <c r="AC7" s="6">
        <f t="shared" si="2"/>
        <v>0.48706034584166569</v>
      </c>
      <c r="AD7" s="5">
        <f t="shared" si="3"/>
        <v>102.012</v>
      </c>
      <c r="AE7" s="5">
        <f t="shared" si="4"/>
        <v>49.211619237736919</v>
      </c>
      <c r="AF7" s="7">
        <f t="shared" si="7"/>
        <v>0.48241010114238442</v>
      </c>
      <c r="AH7" s="5">
        <f t="shared" si="8"/>
        <v>6613.0008776279246</v>
      </c>
    </row>
    <row r="8" spans="1:34" x14ac:dyDescent="0.2">
      <c r="A8" s="1">
        <v>39387</v>
      </c>
      <c r="B8" s="2">
        <v>0.16666666666666666</v>
      </c>
      <c r="C8">
        <v>187</v>
      </c>
      <c r="D8">
        <v>5</v>
      </c>
      <c r="E8">
        <v>187.20833300000001</v>
      </c>
      <c r="F8" s="1">
        <v>44748</v>
      </c>
      <c r="G8" t="s">
        <v>28</v>
      </c>
      <c r="H8" s="4">
        <f>Stem_all!H8*0.18</f>
        <v>48.185999999999993</v>
      </c>
      <c r="I8" s="4">
        <f>Stem_all!I8*0.18</f>
        <v>3.8159999999999998</v>
      </c>
      <c r="J8" s="4">
        <f>Stem_all!J8*0.18</f>
        <v>88.866</v>
      </c>
      <c r="K8" s="4">
        <f>Stem_all!K8*0.18</f>
        <v>24.317999999999998</v>
      </c>
      <c r="L8" s="4">
        <f>Stem_all!L8*0.18</f>
        <v>32.94</v>
      </c>
      <c r="M8" s="4">
        <f>Stem_all!M8*0.18</f>
        <v>46.26</v>
      </c>
      <c r="N8" s="4">
        <f>Stem_all!N8*0.18</f>
        <v>23.957999999999998</v>
      </c>
      <c r="O8" s="4">
        <f>Stem_all!O8*0.18</f>
        <v>1.764</v>
      </c>
      <c r="P8" s="4">
        <f>Stem_all!P8*0.18</f>
        <v>52.001999999999995</v>
      </c>
      <c r="Q8" s="4">
        <f>Stem_all!Q8*0.18</f>
        <v>113.18399999999998</v>
      </c>
      <c r="R8" s="4">
        <f>Stem_all!R8*0.18</f>
        <v>79.2</v>
      </c>
      <c r="S8" s="4">
        <f>Stem_all!S8*0.18</f>
        <v>25.722000000000001</v>
      </c>
      <c r="T8">
        <v>1</v>
      </c>
      <c r="U8">
        <v>1</v>
      </c>
      <c r="V8">
        <v>0</v>
      </c>
      <c r="W8">
        <v>1</v>
      </c>
      <c r="X8">
        <v>3</v>
      </c>
      <c r="Y8" s="5">
        <f t="shared" si="5"/>
        <v>9.9659999999999993</v>
      </c>
      <c r="Z8" s="5">
        <f t="shared" si="6"/>
        <v>12.471471605227666</v>
      </c>
      <c r="AA8" s="5">
        <f t="shared" si="0"/>
        <v>53.669999999999995</v>
      </c>
      <c r="AB8" s="5">
        <f t="shared" si="1"/>
        <v>60.181358582556889</v>
      </c>
      <c r="AC8" s="6">
        <f t="shared" si="2"/>
        <v>0.84339053366019234</v>
      </c>
      <c r="AD8" s="5">
        <f t="shared" si="3"/>
        <v>63.635999999999996</v>
      </c>
      <c r="AE8" s="5">
        <f t="shared" si="4"/>
        <v>44.87664011487491</v>
      </c>
      <c r="AF8" s="7">
        <f t="shared" si="7"/>
        <v>0.70520837442445961</v>
      </c>
      <c r="AH8" s="5">
        <f t="shared" si="8"/>
        <v>4623.4073141279314</v>
      </c>
    </row>
    <row r="9" spans="1:34" x14ac:dyDescent="0.2">
      <c r="A9" s="1">
        <v>39753</v>
      </c>
      <c r="B9" s="2">
        <v>0.29166666666666669</v>
      </c>
      <c r="C9">
        <v>187</v>
      </c>
      <c r="D9">
        <v>8</v>
      </c>
      <c r="E9">
        <v>187.33333300000001</v>
      </c>
      <c r="F9" s="1">
        <v>44748</v>
      </c>
      <c r="G9" t="s">
        <v>28</v>
      </c>
      <c r="H9" s="4">
        <f>Stem_all!H9*0.18</f>
        <v>15.947999999999999</v>
      </c>
      <c r="I9" s="4">
        <f>Stem_all!I9*0.18</f>
        <v>1.8540000000000001</v>
      </c>
      <c r="J9" s="4">
        <f>Stem_all!J9*0.18</f>
        <v>36.558</v>
      </c>
      <c r="K9" s="4">
        <f>Stem_all!K9*0.18</f>
        <v>15.426</v>
      </c>
      <c r="L9" s="4">
        <f>Stem_all!L9*0.18</f>
        <v>11.987999999999998</v>
      </c>
      <c r="M9" s="4">
        <f>Stem_all!M9*0.18</f>
        <v>12.42</v>
      </c>
      <c r="N9" s="4">
        <f>Stem_all!N9*0.18</f>
        <v>20.015999999999998</v>
      </c>
      <c r="O9" s="4">
        <f>Stem_all!O9*0.18</f>
        <v>7.9019999999999992</v>
      </c>
      <c r="P9" s="4">
        <f>Stem_all!P9*0.18</f>
        <v>17.783999999999999</v>
      </c>
      <c r="Q9" s="4">
        <f>Stem_all!Q9*0.18</f>
        <v>51.984000000000002</v>
      </c>
      <c r="R9" s="4">
        <f>Stem_all!R9*0.18</f>
        <v>24.407999999999998</v>
      </c>
      <c r="S9" s="4">
        <f>Stem_all!S9*0.18</f>
        <v>27.917999999999999</v>
      </c>
      <c r="T9">
        <v>1</v>
      </c>
      <c r="U9">
        <v>1</v>
      </c>
      <c r="V9">
        <v>1</v>
      </c>
      <c r="W9">
        <v>1</v>
      </c>
      <c r="X9">
        <v>4</v>
      </c>
      <c r="Y9" s="5">
        <f t="shared" si="5"/>
        <v>9.400500000000001</v>
      </c>
      <c r="Z9" s="5">
        <f t="shared" si="6"/>
        <v>5.9053420730724824</v>
      </c>
      <c r="AA9" s="5">
        <f t="shared" si="0"/>
        <v>21.127499999999998</v>
      </c>
      <c r="AB9" s="5">
        <f t="shared" si="1"/>
        <v>20.628053800664187</v>
      </c>
      <c r="AC9" s="6">
        <f t="shared" si="2"/>
        <v>0.69206957547169812</v>
      </c>
      <c r="AD9" s="5">
        <f t="shared" si="3"/>
        <v>30.527999999999999</v>
      </c>
      <c r="AE9" s="5">
        <f t="shared" si="4"/>
        <v>14.906123037195151</v>
      </c>
      <c r="AF9" s="7">
        <f t="shared" si="7"/>
        <v>0.48827709110309064</v>
      </c>
      <c r="AH9" s="5">
        <f t="shared" si="8"/>
        <v>9577.1705285039079</v>
      </c>
    </row>
    <row r="10" spans="1:34" x14ac:dyDescent="0.2">
      <c r="A10" s="1">
        <v>37197</v>
      </c>
      <c r="B10" s="2">
        <v>0.29166666666666669</v>
      </c>
      <c r="C10">
        <v>209</v>
      </c>
      <c r="D10">
        <v>8</v>
      </c>
      <c r="E10">
        <v>209.33333300000001</v>
      </c>
      <c r="F10" s="1">
        <v>44770</v>
      </c>
      <c r="G10" t="s">
        <v>29</v>
      </c>
      <c r="H10" s="4">
        <f>Stem_all!H10*0.18</f>
        <v>101.42999999999999</v>
      </c>
      <c r="I10" s="4">
        <f>Stem_all!I10*0.18</f>
        <v>5.1479999999999997</v>
      </c>
      <c r="J10" s="4">
        <f>Stem_all!J10*0.18</f>
        <v>159.13800000000001</v>
      </c>
      <c r="K10" s="4">
        <f>Stem_all!K10*0.18</f>
        <v>17.567999999999998</v>
      </c>
      <c r="L10" s="4">
        <f>Stem_all!L10*0.18</f>
        <v>233.96399999999997</v>
      </c>
      <c r="M10" s="4">
        <f>Stem_all!M10*0.18</f>
        <v>12.887999999999998</v>
      </c>
      <c r="N10" s="4">
        <f>Stem_all!N10*0.18</f>
        <v>62.765999999999998</v>
      </c>
      <c r="O10" s="4">
        <f>Stem_all!O10*0.18</f>
        <v>0.39600000000000002</v>
      </c>
      <c r="P10" s="4">
        <f>Stem_all!P10*0.18</f>
        <v>106.596</v>
      </c>
      <c r="Q10" s="4">
        <f>Stem_all!Q10*0.18</f>
        <v>176.70599999999999</v>
      </c>
      <c r="R10" s="4">
        <f>Stem_all!R10*0.18</f>
        <v>246.852</v>
      </c>
      <c r="S10" s="4">
        <f>Stem_all!S10*0.18</f>
        <v>63.161999999999992</v>
      </c>
      <c r="T10">
        <v>1</v>
      </c>
      <c r="U10">
        <v>1</v>
      </c>
      <c r="V10">
        <v>1</v>
      </c>
      <c r="W10">
        <v>1</v>
      </c>
      <c r="X10">
        <v>4</v>
      </c>
      <c r="Y10" s="8">
        <f t="shared" si="5"/>
        <v>9</v>
      </c>
      <c r="Z10" s="8">
        <f t="shared" si="6"/>
        <v>7.6896876399500123</v>
      </c>
      <c r="AA10" s="8">
        <f t="shared" si="0"/>
        <v>139.32449999999997</v>
      </c>
      <c r="AB10" s="8">
        <f t="shared" si="1"/>
        <v>169.27029872884989</v>
      </c>
      <c r="AC10" s="9">
        <f t="shared" si="2"/>
        <v>0.9393222293012955</v>
      </c>
      <c r="AD10" s="8">
        <f t="shared" si="3"/>
        <v>148.32449999999997</v>
      </c>
      <c r="AE10" s="8">
        <f t="shared" si="4"/>
        <v>80.640352733603535</v>
      </c>
      <c r="AF10" s="10">
        <f t="shared" si="7"/>
        <v>0.54367520358136079</v>
      </c>
      <c r="AH10" s="5">
        <f t="shared" si="8"/>
        <v>39445.2099256289</v>
      </c>
    </row>
    <row r="11" spans="1:34" x14ac:dyDescent="0.2">
      <c r="A11" s="1">
        <v>37562</v>
      </c>
      <c r="B11" s="2">
        <v>0.54166666666666663</v>
      </c>
      <c r="C11">
        <v>209</v>
      </c>
      <c r="D11">
        <v>13</v>
      </c>
      <c r="E11">
        <v>209.54166699999999</v>
      </c>
      <c r="F11" s="1">
        <v>44770</v>
      </c>
      <c r="G11" t="s">
        <v>29</v>
      </c>
      <c r="H11" s="4">
        <f>Stem_all!H11*0.18</f>
        <v>151.84799999999998</v>
      </c>
      <c r="I11" s="4">
        <f>Stem_all!I11*0.18</f>
        <v>21.023999999999997</v>
      </c>
      <c r="J11" s="4">
        <f>Stem_all!J11*0.18</f>
        <v>149.256</v>
      </c>
      <c r="K11" s="4">
        <f>Stem_all!K11*0.18</f>
        <v>8.5860000000000003</v>
      </c>
      <c r="L11" s="4">
        <f>Stem_all!L11*0.18</f>
        <v>100.35</v>
      </c>
      <c r="M11" s="4">
        <f>Stem_all!M11*0.18</f>
        <v>15.407999999999998</v>
      </c>
      <c r="N11" s="4">
        <f>Stem_all!N11*0.18</f>
        <v>68.795999999999992</v>
      </c>
      <c r="O11" s="4">
        <f>Stem_all!O11*0.18</f>
        <v>10.673999999999999</v>
      </c>
      <c r="P11" s="4">
        <f>Stem_all!P11*0.18</f>
        <v>172.87199999999999</v>
      </c>
      <c r="Q11" s="4">
        <f>Stem_all!Q11*0.18</f>
        <v>157.84199999999998</v>
      </c>
      <c r="R11" s="4">
        <f>Stem_all!R11*0.18</f>
        <v>115.758</v>
      </c>
      <c r="S11" s="4">
        <f>Stem_all!S11*0.18</f>
        <v>79.47</v>
      </c>
      <c r="T11">
        <v>1</v>
      </c>
      <c r="U11">
        <v>1</v>
      </c>
      <c r="V11">
        <v>1</v>
      </c>
      <c r="W11">
        <v>1</v>
      </c>
      <c r="X11">
        <v>4</v>
      </c>
      <c r="Y11" s="8">
        <f t="shared" si="5"/>
        <v>13.923</v>
      </c>
      <c r="Z11" s="8">
        <f t="shared" si="6"/>
        <v>5.5277782155220363</v>
      </c>
      <c r="AA11" s="8">
        <f t="shared" si="0"/>
        <v>117.56249999999999</v>
      </c>
      <c r="AB11" s="8">
        <f t="shared" si="1"/>
        <v>135.47635792799363</v>
      </c>
      <c r="AC11" s="9">
        <f t="shared" si="2"/>
        <v>0.89410999691981252</v>
      </c>
      <c r="AD11" s="8">
        <f t="shared" si="3"/>
        <v>131.48549999999997</v>
      </c>
      <c r="AE11" s="8">
        <f t="shared" si="4"/>
        <v>42.270848784948711</v>
      </c>
      <c r="AF11" s="10">
        <f t="shared" si="7"/>
        <v>0.3214867706701402</v>
      </c>
      <c r="AH11" s="5">
        <f t="shared" si="8"/>
        <v>16920.822771878902</v>
      </c>
    </row>
    <row r="12" spans="1:34" x14ac:dyDescent="0.2">
      <c r="A12" s="1">
        <v>37198</v>
      </c>
      <c r="B12" s="2">
        <v>0.29166666666666669</v>
      </c>
      <c r="C12">
        <v>236</v>
      </c>
      <c r="D12">
        <v>8</v>
      </c>
      <c r="E12">
        <v>236.33333300000001</v>
      </c>
      <c r="F12" s="1">
        <v>44797</v>
      </c>
      <c r="G12" t="s">
        <v>30</v>
      </c>
      <c r="H12" s="4">
        <f>Stem_all!H12*0.18</f>
        <v>51.281999999999996</v>
      </c>
      <c r="I12" s="4">
        <f>Stem_all!I12*0.18</f>
        <v>18.773999999999997</v>
      </c>
      <c r="J12" s="4">
        <f>Stem_all!J12*0.18</f>
        <v>41.616</v>
      </c>
      <c r="K12" s="4">
        <f>Stem_all!K12*0.18</f>
        <v>15.12</v>
      </c>
      <c r="L12" s="4">
        <f>Stem_all!L12*0.18</f>
        <v>72.144000000000005</v>
      </c>
      <c r="M12" s="4">
        <f>Stem_all!M12*0.18</f>
        <v>26.279999999999998</v>
      </c>
      <c r="N12" s="4">
        <f>Stem_all!N12*0.18</f>
        <v>28.475999999999996</v>
      </c>
      <c r="O12" s="4">
        <f>Stem_all!O12*0.18</f>
        <v>23.849999999999998</v>
      </c>
      <c r="P12" s="4">
        <f>Stem_all!P12*0.18</f>
        <v>70.055999999999997</v>
      </c>
      <c r="Q12" s="4">
        <f>Stem_all!Q12*0.18</f>
        <v>56.735999999999997</v>
      </c>
      <c r="R12" s="4">
        <f>Stem_all!R12*0.18</f>
        <v>98.441999999999993</v>
      </c>
      <c r="S12" s="4">
        <f>Stem_all!S12*0.18</f>
        <v>52.325999999999993</v>
      </c>
      <c r="T12">
        <v>1</v>
      </c>
      <c r="U12">
        <v>1</v>
      </c>
      <c r="V12">
        <v>0</v>
      </c>
      <c r="W12">
        <v>1</v>
      </c>
      <c r="X12">
        <v>3</v>
      </c>
      <c r="Y12" s="11">
        <f t="shared" si="5"/>
        <v>19.248000000000001</v>
      </c>
      <c r="Z12" s="11">
        <f t="shared" si="6"/>
        <v>4.3842595726074425</v>
      </c>
      <c r="AA12" s="11">
        <f t="shared" si="0"/>
        <v>40.457999999999998</v>
      </c>
      <c r="AB12" s="11">
        <f t="shared" si="1"/>
        <v>45.639963350492998</v>
      </c>
      <c r="AC12" s="12">
        <f t="shared" si="2"/>
        <v>0.67762033966435531</v>
      </c>
      <c r="AD12" s="11">
        <f t="shared" si="3"/>
        <v>59.706000000000003</v>
      </c>
      <c r="AE12" s="11">
        <f t="shared" si="4"/>
        <v>9.2305958637565766</v>
      </c>
      <c r="AF12" s="13">
        <f t="shared" si="7"/>
        <v>0.15460080835689172</v>
      </c>
      <c r="AH12" s="5">
        <f t="shared" si="8"/>
        <v>1144.5656212529311</v>
      </c>
    </row>
    <row r="13" spans="1:34" x14ac:dyDescent="0.2">
      <c r="A13" s="1">
        <v>37563</v>
      </c>
      <c r="B13" s="2">
        <v>0.54166666666666663</v>
      </c>
      <c r="C13">
        <v>236</v>
      </c>
      <c r="D13">
        <v>13</v>
      </c>
      <c r="E13">
        <v>236.54166699999999</v>
      </c>
      <c r="F13" s="1">
        <v>44797</v>
      </c>
      <c r="G13" t="s">
        <v>30</v>
      </c>
      <c r="H13" s="4">
        <f>Stem_all!H13*0.18</f>
        <v>54.863999999999997</v>
      </c>
      <c r="I13" s="4">
        <f>Stem_all!I13*0.18</f>
        <v>11.25</v>
      </c>
      <c r="J13" s="4">
        <f>Stem_all!J13*0.18</f>
        <v>50.148000000000003</v>
      </c>
      <c r="K13" s="4">
        <f>Stem_all!K13*0.18</f>
        <v>20.376000000000001</v>
      </c>
      <c r="L13" s="4">
        <f>Stem_all!L13*0.18</f>
        <v>50.958000000000006</v>
      </c>
      <c r="M13" s="4">
        <f>Stem_all!M13*0.18</f>
        <v>42.192</v>
      </c>
      <c r="N13" s="4">
        <f>Stem_all!N13*0.18</f>
        <v>32.741999999999997</v>
      </c>
      <c r="O13" s="4">
        <f>Stem_all!O13*0.18</f>
        <v>33.533999999999999</v>
      </c>
      <c r="P13" s="4">
        <f>Stem_all!P13*0.18</f>
        <v>66.131999999999991</v>
      </c>
      <c r="Q13" s="4">
        <f>Stem_all!Q13*0.18</f>
        <v>70.541999999999987</v>
      </c>
      <c r="R13" s="4">
        <f>Stem_all!R13*0.18</f>
        <v>93.131999999999991</v>
      </c>
      <c r="S13" s="4">
        <f>Stem_all!S13*0.18</f>
        <v>66.275999999999996</v>
      </c>
      <c r="T13">
        <v>1</v>
      </c>
      <c r="U13">
        <v>1</v>
      </c>
      <c r="V13">
        <v>0</v>
      </c>
      <c r="W13">
        <v>1</v>
      </c>
      <c r="X13">
        <v>3</v>
      </c>
      <c r="Y13" s="11">
        <f t="shared" si="5"/>
        <v>21.72</v>
      </c>
      <c r="Z13" s="11">
        <f t="shared" si="6"/>
        <v>11.202629869811819</v>
      </c>
      <c r="AA13" s="11">
        <f t="shared" si="0"/>
        <v>45.917999999999999</v>
      </c>
      <c r="AB13" s="11">
        <f t="shared" si="1"/>
        <v>44.085153747196372</v>
      </c>
      <c r="AC13" s="12">
        <f t="shared" si="2"/>
        <v>0.67887873680475463</v>
      </c>
      <c r="AD13" s="11">
        <f t="shared" si="3"/>
        <v>67.638000000000005</v>
      </c>
      <c r="AE13" s="11">
        <f t="shared" si="4"/>
        <v>2.500661512480248</v>
      </c>
      <c r="AF13" s="13">
        <f t="shared" si="7"/>
        <v>3.6971251552089766E-2</v>
      </c>
      <c r="AH13" s="5">
        <f t="shared" si="8"/>
        <v>317.8079565029301</v>
      </c>
    </row>
    <row r="14" spans="1:34" x14ac:dyDescent="0.2">
      <c r="A14" s="1">
        <v>37928</v>
      </c>
      <c r="B14" s="2">
        <v>0.79166666666666663</v>
      </c>
      <c r="C14">
        <v>236</v>
      </c>
      <c r="D14">
        <v>20</v>
      </c>
      <c r="E14">
        <v>236.83333300000001</v>
      </c>
      <c r="F14" s="1">
        <v>44797</v>
      </c>
      <c r="G14" t="s">
        <v>30</v>
      </c>
      <c r="H14" s="4">
        <f>Stem_all!H14*0.18</f>
        <v>25.164000000000001</v>
      </c>
      <c r="I14" s="4">
        <f>Stem_all!I14*0.18</f>
        <v>60.155999999999999</v>
      </c>
      <c r="J14" s="4">
        <f>Stem_all!J14*0.18</f>
        <v>51.191999999999993</v>
      </c>
      <c r="K14" s="4">
        <f>Stem_all!K14*0.18</f>
        <v>23.075999999999997</v>
      </c>
      <c r="L14" s="4">
        <f>Stem_all!L14*0.18</f>
        <v>59.417999999999999</v>
      </c>
      <c r="M14" s="4">
        <f>Stem_all!M14*0.18</f>
        <v>34.451999999999998</v>
      </c>
      <c r="N14" s="4">
        <f>Stem_all!N14*0.18</f>
        <v>19.529999999999998</v>
      </c>
      <c r="O14" s="4">
        <f>Stem_all!O14*0.18</f>
        <v>20.483999999999998</v>
      </c>
      <c r="P14" s="4">
        <f>Stem_all!P14*0.18</f>
        <v>85.32</v>
      </c>
      <c r="Q14" s="4">
        <f>Stem_all!Q14*0.18</f>
        <v>74.268000000000001</v>
      </c>
      <c r="R14" s="4">
        <f>Stem_all!R14*0.18</f>
        <v>93.86999999999999</v>
      </c>
      <c r="S14" s="4">
        <f>Stem_all!S14*0.18</f>
        <v>40.014000000000003</v>
      </c>
      <c r="T14">
        <v>1</v>
      </c>
      <c r="U14">
        <v>1</v>
      </c>
      <c r="V14">
        <v>0</v>
      </c>
      <c r="W14">
        <v>1</v>
      </c>
      <c r="X14">
        <v>3</v>
      </c>
      <c r="Y14" s="11">
        <f t="shared" si="5"/>
        <v>34.571999999999996</v>
      </c>
      <c r="Z14" s="11">
        <f t="shared" si="6"/>
        <v>22.194265205228131</v>
      </c>
      <c r="AA14" s="11">
        <f t="shared" si="0"/>
        <v>31.962</v>
      </c>
      <c r="AB14" s="11">
        <f t="shared" si="1"/>
        <v>20.697659977192963</v>
      </c>
      <c r="AC14" s="12">
        <f t="shared" si="2"/>
        <v>0.48038596807647221</v>
      </c>
      <c r="AD14" s="11">
        <f t="shared" si="3"/>
        <v>66.533999999999992</v>
      </c>
      <c r="AE14" s="11">
        <f t="shared" si="4"/>
        <v>23.62243586085059</v>
      </c>
      <c r="AF14" s="13">
        <f t="shared" si="7"/>
        <v>0.35504307362928117</v>
      </c>
      <c r="AH14" s="5">
        <f t="shared" si="8"/>
        <v>1491.8194455029306</v>
      </c>
    </row>
    <row r="15" spans="1:34" x14ac:dyDescent="0.2">
      <c r="A15" s="1">
        <v>37199</v>
      </c>
      <c r="B15" s="2">
        <v>0.29166666666666669</v>
      </c>
      <c r="C15">
        <v>258</v>
      </c>
      <c r="D15">
        <v>8</v>
      </c>
      <c r="E15">
        <v>258.33333299999998</v>
      </c>
      <c r="F15" s="1">
        <v>44819</v>
      </c>
      <c r="G15" t="s">
        <v>31</v>
      </c>
      <c r="H15" s="4">
        <f>Stem_all!H15*0.18</f>
        <v>70.325999999999993</v>
      </c>
      <c r="I15" s="4">
        <f>Stem_all!I15*0.18</f>
        <v>-0.27</v>
      </c>
      <c r="J15" s="4">
        <f>Stem_all!J15*0.18</f>
        <v>100.8</v>
      </c>
      <c r="K15" s="4">
        <f>Stem_all!K15*0.18</f>
        <v>5.7240000000000002</v>
      </c>
      <c r="L15" s="4">
        <f>Stem_all!L15*0.18</f>
        <v>77.093999999999994</v>
      </c>
      <c r="M15" s="4">
        <f>Stem_all!M15*0.18</f>
        <v>14.399999999999999</v>
      </c>
      <c r="N15" s="4">
        <f>Stem_all!N15*0.18</f>
        <v>18.486000000000001</v>
      </c>
      <c r="O15" s="4">
        <f>Stem_all!O15*0.18</f>
        <v>6.9480000000000004</v>
      </c>
      <c r="P15" s="4">
        <f>Stem_all!P15*0.18</f>
        <v>70.055999999999997</v>
      </c>
      <c r="Q15" s="4">
        <f>Stem_all!Q15*0.18</f>
        <v>106.54199999999999</v>
      </c>
      <c r="R15" s="4">
        <f>Stem_all!R15*0.18</f>
        <v>91.494</v>
      </c>
      <c r="S15" s="4">
        <f>Stem_all!S15*0.18</f>
        <v>25.434000000000001</v>
      </c>
      <c r="T15">
        <v>1</v>
      </c>
      <c r="U15">
        <v>1</v>
      </c>
      <c r="V15">
        <v>0</v>
      </c>
      <c r="W15">
        <v>1</v>
      </c>
      <c r="X15">
        <v>3</v>
      </c>
      <c r="Y15" s="14">
        <f t="shared" si="5"/>
        <v>4.1340000000000003</v>
      </c>
      <c r="Z15" s="14">
        <f t="shared" si="6"/>
        <v>3.8627653306925076</v>
      </c>
      <c r="AA15" s="14">
        <f t="shared" si="0"/>
        <v>63.203999999999986</v>
      </c>
      <c r="AB15" s="14">
        <f t="shared" si="1"/>
        <v>83.749710507659259</v>
      </c>
      <c r="AC15" s="15">
        <f t="shared" si="2"/>
        <v>0.93860821527220872</v>
      </c>
      <c r="AD15" s="14">
        <f t="shared" si="3"/>
        <v>67.337999999999994</v>
      </c>
      <c r="AE15" s="14">
        <f t="shared" si="4"/>
        <v>40.613269604896381</v>
      </c>
      <c r="AF15" s="16">
        <f t="shared" si="7"/>
        <v>0.6031255695876977</v>
      </c>
      <c r="AH15" s="5">
        <f t="shared" si="8"/>
        <v>3622.6050202529304</v>
      </c>
    </row>
    <row r="16" spans="1:34" x14ac:dyDescent="0.2">
      <c r="A16" s="1">
        <v>37564</v>
      </c>
      <c r="B16" s="2">
        <v>0.54166666666666663</v>
      </c>
      <c r="C16">
        <v>258</v>
      </c>
      <c r="D16">
        <v>13</v>
      </c>
      <c r="E16">
        <v>258.54166700000002</v>
      </c>
      <c r="F16" s="1">
        <v>44819</v>
      </c>
      <c r="G16" t="s">
        <v>31</v>
      </c>
      <c r="H16" s="4">
        <f>Stem_all!H16*0.18</f>
        <v>55.961999999999996</v>
      </c>
      <c r="I16" s="4">
        <f>Stem_all!I16*0.18</f>
        <v>-1.008</v>
      </c>
      <c r="J16" s="4">
        <f>Stem_all!J16*0.18</f>
        <v>125.51399999999998</v>
      </c>
      <c r="K16" s="4">
        <f>Stem_all!K16*0.18</f>
        <v>0.97199999999999998</v>
      </c>
      <c r="L16" s="4">
        <f>Stem_all!L16*0.18</f>
        <v>39.384</v>
      </c>
      <c r="M16" s="4">
        <f>Stem_all!M16*0.18</f>
        <v>19.835999999999999</v>
      </c>
      <c r="N16" s="4">
        <f>Stem_all!N16*0.18</f>
        <v>41.274000000000001</v>
      </c>
      <c r="O16" s="4">
        <f>Stem_all!O16*0.18</f>
        <v>52.218000000000004</v>
      </c>
      <c r="P16" s="4">
        <f>Stem_all!P16*0.18</f>
        <v>54.954000000000001</v>
      </c>
      <c r="Q16" s="4">
        <f>Stem_all!Q16*0.18</f>
        <v>126.486</v>
      </c>
      <c r="R16" s="4">
        <f>Stem_all!R16*0.18</f>
        <v>59.22</v>
      </c>
      <c r="S16" s="4">
        <f>Stem_all!S16*0.18</f>
        <v>93.49199999999999</v>
      </c>
      <c r="T16">
        <v>0</v>
      </c>
      <c r="U16">
        <v>1</v>
      </c>
      <c r="V16">
        <v>0</v>
      </c>
      <c r="W16">
        <v>1</v>
      </c>
      <c r="X16">
        <v>2</v>
      </c>
      <c r="Y16" s="14">
        <f t="shared" si="5"/>
        <v>26.595000000000002</v>
      </c>
      <c r="Z16" s="14">
        <f t="shared" si="6"/>
        <v>36.236394108685815</v>
      </c>
      <c r="AA16" s="14">
        <f t="shared" si="0"/>
        <v>83.393999999999991</v>
      </c>
      <c r="AB16" s="14">
        <f t="shared" si="1"/>
        <v>89.419619697251093</v>
      </c>
      <c r="AC16" s="15">
        <f t="shared" si="2"/>
        <v>0.7582030930365764</v>
      </c>
      <c r="AD16" s="14">
        <f t="shared" si="3"/>
        <v>109.98899999999999</v>
      </c>
      <c r="AE16" s="14">
        <f t="shared" si="4"/>
        <v>23.33028113846893</v>
      </c>
      <c r="AF16" s="16">
        <f t="shared" si="7"/>
        <v>0.2121146763628084</v>
      </c>
      <c r="AH16" s="5">
        <f t="shared" si="8"/>
        <v>2626.1083888769499</v>
      </c>
    </row>
    <row r="17" spans="1:34" x14ac:dyDescent="0.2">
      <c r="A17" s="1">
        <v>37929</v>
      </c>
      <c r="B17" s="2">
        <v>0.79166666666666663</v>
      </c>
      <c r="C17">
        <v>258</v>
      </c>
      <c r="D17">
        <v>20</v>
      </c>
      <c r="E17">
        <v>258.83333299999998</v>
      </c>
      <c r="F17" s="1">
        <v>44819</v>
      </c>
      <c r="G17" t="s">
        <v>31</v>
      </c>
      <c r="H17" s="4">
        <f>Stem_all!H17*0.18</f>
        <v>56.124000000000002</v>
      </c>
      <c r="I17" s="4">
        <f>Stem_all!I17*0.18</f>
        <v>-0.19800000000000001</v>
      </c>
      <c r="J17" s="4">
        <f>Stem_all!J17*0.18</f>
        <v>88.631999999999991</v>
      </c>
      <c r="K17" s="4">
        <f>Stem_all!K17*0.18</f>
        <v>4.2839999999999998</v>
      </c>
      <c r="L17" s="4">
        <f>Stem_all!L17*0.18</f>
        <v>114.01199999999999</v>
      </c>
      <c r="M17" s="4">
        <f>Stem_all!M17*0.18</f>
        <v>10.746</v>
      </c>
      <c r="N17" s="4">
        <f>Stem_all!N17*0.18</f>
        <v>57.995999999999995</v>
      </c>
      <c r="O17" s="4">
        <f>Stem_all!O17*0.18</f>
        <v>13.463999999999999</v>
      </c>
      <c r="P17" s="4">
        <f>Stem_all!P17*0.18</f>
        <v>55.925999999999995</v>
      </c>
      <c r="Q17" s="4">
        <f>Stem_all!Q17*0.18</f>
        <v>92.916000000000011</v>
      </c>
      <c r="R17" s="4">
        <f>Stem_all!R17*0.18</f>
        <v>124.758</v>
      </c>
      <c r="S17" s="4">
        <f>Stem_all!S17*0.18</f>
        <v>71.459999999999994</v>
      </c>
      <c r="T17">
        <v>0</v>
      </c>
      <c r="U17">
        <v>1</v>
      </c>
      <c r="V17">
        <v>0</v>
      </c>
      <c r="W17">
        <v>1</v>
      </c>
      <c r="X17">
        <v>2</v>
      </c>
      <c r="Y17" s="14">
        <f t="shared" si="5"/>
        <v>8.8739999999999988</v>
      </c>
      <c r="Z17" s="14">
        <f>SQRT((((I17-$Y17)^2)*T17+((K17-$Y17)^2)*U17+((M17-$Y17)^2)*V17+((O17-$Y17)^2)*W17)/(X17-1))</f>
        <v>6.4912402512925054</v>
      </c>
      <c r="AA17" s="14">
        <f t="shared" si="0"/>
        <v>73.313999999999993</v>
      </c>
      <c r="AB17" s="14">
        <f t="shared" si="1"/>
        <v>96.952796189006136</v>
      </c>
      <c r="AC17" s="15">
        <f t="shared" si="2"/>
        <v>0.8920280332895314</v>
      </c>
      <c r="AD17" s="14">
        <f t="shared" si="3"/>
        <v>82.187999999999988</v>
      </c>
      <c r="AE17" s="14">
        <f t="shared" si="4"/>
        <v>15.171683097138567</v>
      </c>
      <c r="AF17" s="16">
        <f t="shared" si="7"/>
        <v>0.18459730249110051</v>
      </c>
      <c r="AH17" s="5">
        <f t="shared" si="8"/>
        <v>269.999413751953</v>
      </c>
    </row>
    <row r="18" spans="1:34" x14ac:dyDescent="0.2">
      <c r="A18" s="1">
        <v>37200</v>
      </c>
      <c r="B18" s="2">
        <v>0.5</v>
      </c>
      <c r="C18">
        <v>278</v>
      </c>
      <c r="D18">
        <v>12</v>
      </c>
      <c r="E18">
        <v>278.5</v>
      </c>
      <c r="F18" s="1">
        <v>44839</v>
      </c>
      <c r="G18" t="s">
        <v>32</v>
      </c>
      <c r="H18" s="4">
        <f>Stem_all!H18*0.18</f>
        <v>2.9519999999999995</v>
      </c>
      <c r="I18" s="4">
        <f>Stem_all!I18*0.18</f>
        <v>-0.86399999999999999</v>
      </c>
      <c r="J18" s="4">
        <f>Stem_all!J18*0.18</f>
        <v>10.98</v>
      </c>
      <c r="K18" s="4">
        <f>Stem_all!K18*0.18</f>
        <v>6.6419999999999995</v>
      </c>
      <c r="L18" s="4">
        <f>Stem_all!L18*0.18</f>
        <v>10.638</v>
      </c>
      <c r="M18" s="4">
        <f>Stem_all!M18*0.18</f>
        <v>27.882000000000001</v>
      </c>
      <c r="N18" s="4">
        <f>Stem_all!N18*0.18</f>
        <v>2.6279999999999997</v>
      </c>
      <c r="O18" s="4">
        <f>Stem_all!O18*0.18</f>
        <v>0</v>
      </c>
      <c r="P18" s="4">
        <f>Stem_all!P18*0.18</f>
        <v>2.0699999999999998</v>
      </c>
      <c r="Q18" s="4">
        <f>Stem_all!Q18*0.18</f>
        <v>17.622</v>
      </c>
      <c r="R18" s="4">
        <f>Stem_all!R18*0.18</f>
        <v>38.519999999999996</v>
      </c>
      <c r="S18" s="4">
        <f>Stem_all!S18*0.18</f>
        <v>2.6279999999999997</v>
      </c>
      <c r="T18">
        <v>0</v>
      </c>
      <c r="U18">
        <v>0</v>
      </c>
      <c r="V18">
        <v>0</v>
      </c>
      <c r="W18">
        <v>1</v>
      </c>
      <c r="X18">
        <v>1</v>
      </c>
      <c r="Y18" s="14">
        <f t="shared" si="5"/>
        <v>0</v>
      </c>
      <c r="Z18" s="14">
        <f>SQRT((((I18-$Y18)^2)*T18+((K18-$Y18)^2)*U18+((M18-$Y18)^2)*V18+((O18-$Y18)^2)*W18)/(X18))</f>
        <v>0</v>
      </c>
      <c r="AA18" s="14">
        <f t="shared" si="0"/>
        <v>2.6279999999999997</v>
      </c>
      <c r="AB18" s="14">
        <f>SQRT((((H18-$Z18)^2)*T18+((J18-$Z18)^2)*U18+((L18-$Z18)^2)*V18+((N18-$Z18)^2)*W18)/(X18))</f>
        <v>2.6279999999999997</v>
      </c>
      <c r="AC18" s="15">
        <f t="shared" si="2"/>
        <v>1</v>
      </c>
      <c r="AD18" s="14">
        <f t="shared" si="3"/>
        <v>2.6279999999999997</v>
      </c>
      <c r="AE18" s="14">
        <f>SQRT((((H18+I18-$AD18)^2)*T18+((J18+K18-$AD18)^2)*U18+((L18+M18-$AD18)^2)*V18+((N18+O18-$AD18)^2)*W18)/(X18))</f>
        <v>0</v>
      </c>
      <c r="AF18" s="16">
        <f t="shared" si="7"/>
        <v>0</v>
      </c>
      <c r="AH18" s="5">
        <f t="shared" si="8"/>
        <v>5639.7049103759773</v>
      </c>
    </row>
    <row r="19" spans="1:34" x14ac:dyDescent="0.2">
      <c r="AD19" s="14">
        <f>AVERAGE(AD3:AD18)</f>
        <v>77.725968750000007</v>
      </c>
      <c r="AH19" s="5">
        <f>SQRT(SUM(AH2:AH17)/(SUM(X2:X17)-1))</f>
        <v>46.35066524877071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Stem_all</vt:lpstr>
      <vt:lpstr>C</vt:lpstr>
      <vt:lpstr>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Piao, Ximin</cp:lastModifiedBy>
  <dcterms:created xsi:type="dcterms:W3CDTF">2026-03-16T14:42:54Z</dcterms:created>
  <dcterms:modified xsi:type="dcterms:W3CDTF">2026-03-16T15:51:38Z</dcterms:modified>
</cp:coreProperties>
</file>