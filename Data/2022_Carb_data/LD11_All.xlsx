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minpiao/Documents/GitHub/UTR-Soybean-BioCro/Data/2022_Carb_data/"/>
    </mc:Choice>
  </mc:AlternateContent>
  <xr:revisionPtr revIDLastSave="0" documentId="13_ncr:1_{2CD917B3-2656-8040-B758-28923A9F79F6}" xr6:coauthVersionLast="47" xr6:coauthVersionMax="47" xr10:uidLastSave="{00000000-0000-0000-0000-000000000000}"/>
  <bookViews>
    <workbookView xWindow="0" yWindow="600" windowWidth="28800" windowHeight="16380" xr2:uid="{AD88AA4B-C132-0C4D-B7C9-8D206AC39C22}"/>
  </bookViews>
  <sheets>
    <sheet name="Leaf" sheetId="3" r:id="rId1"/>
    <sheet name="Stem" sheetId="1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P2" i="1" l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2" i="3"/>
  <c r="R17" i="3"/>
  <c r="Q17" i="3"/>
  <c r="P17" i="3"/>
  <c r="Q16" i="3"/>
  <c r="R16" i="3"/>
  <c r="P16" i="3"/>
  <c r="R15" i="3"/>
  <c r="Q15" i="3"/>
  <c r="P15" i="3"/>
  <c r="Q14" i="3"/>
  <c r="Q8" i="3"/>
  <c r="P8" i="3"/>
  <c r="R13" i="3"/>
  <c r="Q13" i="3"/>
  <c r="P11" i="3"/>
  <c r="Q11" i="3"/>
  <c r="R11" i="3"/>
  <c r="R10" i="3"/>
  <c r="Q10" i="3"/>
  <c r="P10" i="3"/>
  <c r="P12" i="3"/>
  <c r="P13" i="3"/>
  <c r="R9" i="3"/>
  <c r="Q9" i="3"/>
  <c r="P9" i="3"/>
  <c r="S2" i="3"/>
  <c r="X17" i="3"/>
  <c r="S17" i="3"/>
  <c r="X16" i="3"/>
  <c r="S16" i="3"/>
  <c r="X15" i="3"/>
  <c r="S15" i="3"/>
  <c r="X14" i="3"/>
  <c r="S14" i="3"/>
  <c r="R14" i="3"/>
  <c r="X13" i="3"/>
  <c r="S13" i="3"/>
  <c r="X12" i="3"/>
  <c r="S12" i="3"/>
  <c r="R12" i="3"/>
  <c r="Q12" i="3"/>
  <c r="X11" i="3"/>
  <c r="S11" i="3"/>
  <c r="X10" i="3"/>
  <c r="S10" i="3"/>
  <c r="X9" i="3"/>
  <c r="S9" i="3"/>
  <c r="X8" i="3"/>
  <c r="S8" i="3"/>
  <c r="R8" i="3"/>
  <c r="X7" i="3"/>
  <c r="S7" i="3"/>
  <c r="R7" i="3"/>
  <c r="Q7" i="3"/>
  <c r="P7" i="3"/>
  <c r="X6" i="3"/>
  <c r="S6" i="3"/>
  <c r="R6" i="3"/>
  <c r="Q6" i="3"/>
  <c r="P6" i="3"/>
  <c r="X5" i="3"/>
  <c r="S5" i="3"/>
  <c r="R5" i="3"/>
  <c r="Q5" i="3"/>
  <c r="P5" i="3"/>
  <c r="X4" i="3"/>
  <c r="S4" i="3"/>
  <c r="R4" i="3"/>
  <c r="Q4" i="3"/>
  <c r="P4" i="3"/>
  <c r="X3" i="3"/>
  <c r="S3" i="3"/>
  <c r="R3" i="3"/>
  <c r="Q3" i="3"/>
  <c r="P3" i="3"/>
  <c r="X2" i="3"/>
  <c r="R2" i="3"/>
  <c r="Q2" i="3"/>
  <c r="P2" i="3"/>
  <c r="Y16" i="3" l="1"/>
  <c r="P14" i="3"/>
  <c r="Y14" i="3" s="1"/>
  <c r="Z14" i="3" s="1"/>
  <c r="AA14" i="3" s="1"/>
  <c r="Y8" i="3"/>
  <c r="Y9" i="3"/>
  <c r="Z9" i="3" s="1"/>
  <c r="AA9" i="3" s="1"/>
  <c r="Y17" i="3"/>
  <c r="Z17" i="3" s="1"/>
  <c r="AA17" i="3" s="1"/>
  <c r="Y7" i="3"/>
  <c r="Z7" i="3" s="1"/>
  <c r="AA7" i="3" s="1"/>
  <c r="Y15" i="3"/>
  <c r="Z15" i="3" s="1"/>
  <c r="AA15" i="3" s="1"/>
  <c r="Y3" i="3"/>
  <c r="Z3" i="3" s="1"/>
  <c r="AA3" i="3" s="1"/>
  <c r="Y11" i="3"/>
  <c r="Z11" i="3" s="1"/>
  <c r="AA11" i="3" s="1"/>
  <c r="Y4" i="3"/>
  <c r="Z4" i="3" s="1"/>
  <c r="AA4" i="3" s="1"/>
  <c r="Y6" i="3"/>
  <c r="Z6" i="3" s="1"/>
  <c r="AA6" i="3" s="1"/>
  <c r="Y12" i="3"/>
  <c r="Z12" i="3" s="1"/>
  <c r="AA12" i="3" s="1"/>
  <c r="Z8" i="3"/>
  <c r="AA8" i="3" s="1"/>
  <c r="Z16" i="3"/>
  <c r="AA16" i="3" s="1"/>
  <c r="Y2" i="3"/>
  <c r="Z2" i="3" s="1"/>
  <c r="AA2" i="3" s="1"/>
  <c r="Y10" i="3"/>
  <c r="Z10" i="3" s="1"/>
  <c r="AA10" i="3" s="1"/>
  <c r="Y5" i="3"/>
  <c r="Z5" i="3" s="1"/>
  <c r="AA5" i="3" s="1"/>
  <c r="Y13" i="3"/>
  <c r="Z13" i="3" s="1"/>
  <c r="AA13" i="3" s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2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2" i="1"/>
  <c r="Q18" i="1" l="1"/>
  <c r="I18" i="1"/>
  <c r="Q17" i="1"/>
  <c r="I17" i="1"/>
  <c r="P17" i="1"/>
  <c r="Q16" i="1"/>
  <c r="I16" i="1"/>
  <c r="Q15" i="1"/>
  <c r="I15" i="1"/>
  <c r="P15" i="1" s="1"/>
  <c r="Q14" i="1"/>
  <c r="I14" i="1"/>
  <c r="Q13" i="1"/>
  <c r="I13" i="1"/>
  <c r="Q12" i="1"/>
  <c r="I12" i="1"/>
  <c r="Q11" i="1"/>
  <c r="I11" i="1"/>
  <c r="Q10" i="1"/>
  <c r="I10" i="1"/>
  <c r="Q9" i="1"/>
  <c r="I9" i="1"/>
  <c r="Q8" i="1"/>
  <c r="I8" i="1"/>
  <c r="Q7" i="1"/>
  <c r="I7" i="1"/>
  <c r="P7" i="1" s="1"/>
  <c r="Q6" i="1"/>
  <c r="I6" i="1"/>
  <c r="Q5" i="1"/>
  <c r="I5" i="1"/>
  <c r="Q4" i="1"/>
  <c r="I4" i="1"/>
  <c r="Q3" i="1"/>
  <c r="I3" i="1"/>
  <c r="Q2" i="1"/>
  <c r="I2" i="1"/>
  <c r="P9" i="1" l="1"/>
  <c r="P4" i="1"/>
  <c r="Y4" i="1" s="1"/>
  <c r="Z4" i="1" s="1"/>
  <c r="AA4" i="1" s="1"/>
  <c r="P6" i="1"/>
  <c r="P14" i="1"/>
  <c r="Y9" i="1"/>
  <c r="Z9" i="1" s="1"/>
  <c r="AA9" i="1" s="1"/>
  <c r="Y15" i="1"/>
  <c r="Z15" i="1" s="1"/>
  <c r="AA15" i="1" s="1"/>
  <c r="Y17" i="1"/>
  <c r="Z17" i="1" s="1"/>
  <c r="AA17" i="1" s="1"/>
  <c r="Y7" i="1"/>
  <c r="Z7" i="1" s="1"/>
  <c r="AA7" i="1" s="1"/>
  <c r="P12" i="1"/>
  <c r="P18" i="1"/>
  <c r="P3" i="1"/>
  <c r="P5" i="1"/>
  <c r="P11" i="1"/>
  <c r="P10" i="1"/>
  <c r="P13" i="1"/>
  <c r="P8" i="1"/>
  <c r="P16" i="1"/>
  <c r="Y5" i="1" l="1"/>
  <c r="Z5" i="1" s="1"/>
  <c r="AA5" i="1" s="1"/>
  <c r="Y16" i="1"/>
  <c r="Z16" i="1" s="1"/>
  <c r="AA16" i="1" s="1"/>
  <c r="Y18" i="1"/>
  <c r="Z18" i="1" s="1"/>
  <c r="AA18" i="1" s="1"/>
  <c r="Y11" i="1"/>
  <c r="Z11" i="1" s="1"/>
  <c r="AA11" i="1" s="1"/>
  <c r="Y12" i="1"/>
  <c r="Z12" i="1" s="1"/>
  <c r="AA12" i="1" s="1"/>
  <c r="Y3" i="1"/>
  <c r="Y8" i="1"/>
  <c r="Z8" i="1" s="1"/>
  <c r="AA8" i="1" s="1"/>
  <c r="Y14" i="1"/>
  <c r="Z14" i="1" s="1"/>
  <c r="AA14" i="1" s="1"/>
  <c r="Y13" i="1"/>
  <c r="Z13" i="1" s="1"/>
  <c r="AA13" i="1" s="1"/>
  <c r="Y10" i="1"/>
  <c r="Z10" i="1" s="1"/>
  <c r="AA10" i="1" s="1"/>
  <c r="Y2" i="1"/>
  <c r="Z2" i="1" s="1"/>
  <c r="AA2" i="1" s="1"/>
  <c r="Y6" i="1"/>
  <c r="Z6" i="1" s="1"/>
  <c r="AA6" i="1" s="1"/>
  <c r="Z3" i="1" l="1"/>
  <c r="AA3" i="1" s="1"/>
</calcChain>
</file>

<file path=xl/sharedStrings.xml><?xml version="1.0" encoding="utf-8"?>
<sst xmlns="http://schemas.openxmlformats.org/spreadsheetml/2006/main" count="87" uniqueCount="44">
  <si>
    <t>Sample ID</t>
  </si>
  <si>
    <t>11-1-1</t>
  </si>
  <si>
    <t>11-1-2</t>
  </si>
  <si>
    <t>11-1-3</t>
  </si>
  <si>
    <t>11-1-4</t>
  </si>
  <si>
    <t>11-1-5</t>
  </si>
  <si>
    <t>11-1-6</t>
  </si>
  <si>
    <t>11-1-7</t>
  </si>
  <si>
    <t>11-1-8</t>
  </si>
  <si>
    <t>11-2-1</t>
  </si>
  <si>
    <t>11-2-2</t>
  </si>
  <si>
    <t>11-3-1</t>
  </si>
  <si>
    <t>11-3-2</t>
  </si>
  <si>
    <t>11-3-3</t>
  </si>
  <si>
    <t>11-4-1</t>
  </si>
  <si>
    <t>11-4-2</t>
  </si>
  <si>
    <t>11-4-3</t>
  </si>
  <si>
    <t>11-5-1</t>
  </si>
  <si>
    <t>Hour</t>
  </si>
  <si>
    <t>Carb_total_mean</t>
  </si>
  <si>
    <t>Carb_total_std</t>
  </si>
  <si>
    <t>Carb_CV</t>
  </si>
  <si>
    <t>Total valid</t>
  </si>
  <si>
    <t>GFS_1</t>
  </si>
  <si>
    <t>Starch_1</t>
  </si>
  <si>
    <t>GFS_2</t>
  </si>
  <si>
    <t>Starch_2</t>
  </si>
  <si>
    <t>GFS_3</t>
  </si>
  <si>
    <t>Starch_3</t>
  </si>
  <si>
    <t>GFS_4</t>
  </si>
  <si>
    <t>Starch_4</t>
  </si>
  <si>
    <t>Carb_tot_1</t>
  </si>
  <si>
    <t>Carb_tot_2</t>
  </si>
  <si>
    <t>Carb_tot_3</t>
  </si>
  <si>
    <t>Carb_tot_4</t>
  </si>
  <si>
    <t>Valid_1</t>
  </si>
  <si>
    <t>Valid_2</t>
  </si>
  <si>
    <t>Valid_3</t>
  </si>
  <si>
    <t>Valid_4</t>
  </si>
  <si>
    <t>DOY</t>
  </si>
  <si>
    <t>hour</t>
  </si>
  <si>
    <t>time</t>
  </si>
  <si>
    <t>Date</t>
  </si>
  <si>
    <t>DOY_date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</si>
</sst>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2" borderId="4" xfId="0" applyFill="1" applyBorder="1"/>
    <xf numFmtId="0" fontId="0" fillId="3" borderId="5" xfId="0" applyFill="1" applyBorder="1"/>
    <xf numFmtId="49" fontId="0" fillId="0" borderId="0" xfId="0" applyNumberFormat="1"/>
    <xf numFmtId="20" fontId="0" fillId="0" borderId="0" xfId="0" applyNumberFormat="1"/>
    <xf numFmtId="164" fontId="0" fillId="2" borderId="4" xfId="0" applyNumberFormat="1" applyFill="1" applyBorder="1"/>
    <xf numFmtId="164" fontId="0" fillId="3" borderId="5" xfId="0" applyNumberFormat="1" applyFill="1" applyBorder="1"/>
    <xf numFmtId="164" fontId="0" fillId="2" borderId="6" xfId="0" applyNumberFormat="1" applyFill="1" applyBorder="1"/>
    <xf numFmtId="164" fontId="0" fillId="3" borderId="7" xfId="0" applyNumberFormat="1" applyFill="1" applyBorder="1"/>
    <xf numFmtId="1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9" fontId="0" fillId="0" borderId="0" xfId="1" applyFont="1"/>
    <xf numFmtId="164" fontId="0" fillId="5" borderId="4" xfId="0" applyNumberFormat="1" applyFill="1" applyBorder="1"/>
    <xf numFmtId="164" fontId="0" fillId="5" borderId="5" xfId="0" applyNumberFormat="1" applyFill="1" applyBorder="1"/>
    <xf numFmtId="164" fontId="0" fillId="5" borderId="6" xfId="0" applyNumberFormat="1" applyFill="1" applyBorder="1"/>
    <xf numFmtId="164" fontId="0" fillId="5" borderId="8" xfId="0" applyNumberFormat="1" applyFill="1" applyBorder="1"/>
    <xf numFmtId="164" fontId="0" fillId="5" borderId="7" xfId="0" applyNumberFormat="1" applyFill="1" applyBorder="1"/>
    <xf numFmtId="0" fontId="0" fillId="0" borderId="2" xfId="0" applyBorder="1"/>
    <xf numFmtId="0" fontId="0" fillId="0" borderId="4" xfId="0" applyBorder="1"/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4" borderId="5" xfId="0" applyNumberFormat="1" applyFill="1" applyBorder="1"/>
    <xf numFmtId="1" fontId="0" fillId="4" borderId="7" xfId="0" applyNumberFormat="1" applyFill="1" applyBorder="1"/>
    <xf numFmtId="0" fontId="0" fillId="6" borderId="1" xfId="0" applyFill="1" applyBorder="1"/>
    <xf numFmtId="0" fontId="0" fillId="7" borderId="3" xfId="0" applyFill="1" applyBorder="1"/>
    <xf numFmtId="164" fontId="0" fillId="6" borderId="4" xfId="0" applyNumberFormat="1" applyFill="1" applyBorder="1"/>
    <xf numFmtId="9" fontId="0" fillId="0" borderId="5" xfId="1" applyFont="1" applyBorder="1"/>
    <xf numFmtId="164" fontId="0" fillId="6" borderId="6" xfId="0" applyNumberFormat="1" applyFill="1" applyBorder="1"/>
    <xf numFmtId="164" fontId="0" fillId="7" borderId="8" xfId="0" applyNumberFormat="1" applyFill="1" applyBorder="1"/>
    <xf numFmtId="9" fontId="0" fillId="0" borderId="7" xfId="1" applyFont="1" applyBorder="1"/>
    <xf numFmtId="1" fontId="0" fillId="0" borderId="6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14" fontId="4" fillId="0" borderId="0" xfId="0" applyNumberFormat="1" applyFont="1"/>
    <xf numFmtId="0" fontId="5" fillId="0" borderId="0" xfId="0" applyFont="1"/>
    <xf numFmtId="164" fontId="0" fillId="0" borderId="0" xfId="0" applyNumberFormat="1"/>
    <xf numFmtId="164" fontId="0" fillId="7" borderId="0" xfId="0" applyNumberFormat="1" applyFill="1" applyBorder="1"/>
    <xf numFmtId="9" fontId="0" fillId="0" borderId="5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CloudStorage/Box-Box/PhD/8-23FA/BioTek%20Data/2022_Stem/R1/GFS/2022_Stem_R1_GFS_analysis.xlsx" TargetMode="External"/><Relationship Id="rId2" Type="http://schemas.openxmlformats.org/officeDocument/2006/relationships/externalLinkPath" Target="/Users/ximinpiao/Library/CloudStorage/Box-Box/PhD/8-23FA/BioTek%20Data/2022_Stem/R1/GFS/2022_Stem_R1_GFS_analysis.xlsx" TargetMode="External"/><Relationship Id="rId1" Type="http://schemas.openxmlformats.org/officeDocument/2006/relationships/externalLinkPath" Target="/Users/ximinpiao/Library/CloudStorage/Box-Box/PhD/8-23FA/BioTek%20Data/2022_Stem/R1/GFS/2022_Stem_R1_GF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CloudStorage/Box-Box/PhD/8-23FA/BioTek%20Data/2022_Stem/R1/Starch/2022_Stem_R1_Starch_analysis.xlsx" TargetMode="External"/><Relationship Id="rId2" Type="http://schemas.openxmlformats.org/officeDocument/2006/relationships/externalLinkPath" Target="/Users/ximinpiao/Library/CloudStorage/Box-Box/PhD/8-23FA/BioTek%20Data/2022_Stem/R1/Starch/2022_Stem_R1_Starch_analysis.xlsx" TargetMode="External"/><Relationship Id="rId1" Type="http://schemas.openxmlformats.org/officeDocument/2006/relationships/externalLinkPath" Target="/Users/ximinpiao/Library/CloudStorage/Box-Box/PhD/8-23FA/BioTek%20Data/2022_Stem/R1/Starch/2022_Stem_R1_Starch_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CloudStorage/Box-Box/PhD/8-23FA/BioTek%20Data/2022_Stem/R2/GFS%20II/2022_Stem_R2_analysis.xlsx" TargetMode="External"/><Relationship Id="rId2" Type="http://schemas.openxmlformats.org/officeDocument/2006/relationships/externalLinkPath" Target="/Users/ximinpiao/Library/CloudStorage/Box-Box/PhD/8-23FA/BioTek%20Data/2022_Stem/R2/GFS%20II/2022_Stem_R2_analysis.xlsx" TargetMode="External"/><Relationship Id="rId1" Type="http://schemas.openxmlformats.org/officeDocument/2006/relationships/externalLinkPath" Target="/Users/ximinpiao/Library/CloudStorage/Box-Box/PhD/8-23FA/BioTek%20Data/2022_Stem/R2/GFS%20II/2022_Stem_R2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FS-Linear"/>
      <sheetName val="GFS in Assay Summary"/>
      <sheetName val="GFS-Quad-Ending"/>
      <sheetName val="GFS-Quad"/>
      <sheetName val="Sheet1"/>
      <sheetName val="LD10"/>
    </sheetNames>
    <sheetDataSet>
      <sheetData sheetId="0"/>
      <sheetData sheetId="1"/>
      <sheetData sheetId="2">
        <row r="71">
          <cell r="AL71">
            <v>357.73817371239033</v>
          </cell>
        </row>
        <row r="72">
          <cell r="AL72">
            <v>451.98153105926428</v>
          </cell>
        </row>
        <row r="73">
          <cell r="AL73">
            <v>318.4117385185852</v>
          </cell>
        </row>
        <row r="74">
          <cell r="AL74">
            <v>230.6394891915813</v>
          </cell>
        </row>
        <row r="75">
          <cell r="AL75">
            <v>286.21365916523314</v>
          </cell>
        </row>
        <row r="76">
          <cell r="AL76">
            <v>202.30840866209519</v>
          </cell>
        </row>
        <row r="77">
          <cell r="AL77">
            <v>267.71075832927647</v>
          </cell>
        </row>
        <row r="78">
          <cell r="AL78">
            <v>88.571268184648915</v>
          </cell>
        </row>
        <row r="79">
          <cell r="AL79">
            <v>563.50735539320715</v>
          </cell>
        </row>
        <row r="80">
          <cell r="AL80">
            <v>843.6065588733702</v>
          </cell>
        </row>
        <row r="81">
          <cell r="AL81">
            <v>284.90499166962036</v>
          </cell>
        </row>
        <row r="82">
          <cell r="AL82">
            <v>304.80534510512013</v>
          </cell>
        </row>
        <row r="83">
          <cell r="AL83">
            <v>139.78364360646955</v>
          </cell>
        </row>
        <row r="84">
          <cell r="AL84">
            <v>390.72249733057782</v>
          </cell>
        </row>
        <row r="85">
          <cell r="AL85">
            <v>310.92474780645216</v>
          </cell>
        </row>
        <row r="86">
          <cell r="AL86">
            <v>311.78530890104531</v>
          </cell>
        </row>
        <row r="87">
          <cell r="AL87">
            <v>45.143393429783053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rch Data Template"/>
      <sheetName val="LD10"/>
      <sheetName val="LD11"/>
    </sheetNames>
    <sheetDataSet>
      <sheetData sheetId="0">
        <row r="54">
          <cell r="P54">
            <v>56.92460968948081</v>
          </cell>
        </row>
        <row r="55">
          <cell r="P55">
            <v>185.2936715334319</v>
          </cell>
        </row>
        <row r="56">
          <cell r="P56">
            <v>40.41494877630074</v>
          </cell>
        </row>
        <row r="57">
          <cell r="P57">
            <v>213.27914004026843</v>
          </cell>
        </row>
        <row r="58">
          <cell r="P58">
            <v>267.43122054523008</v>
          </cell>
        </row>
        <row r="59">
          <cell r="P59">
            <v>131.24365010383582</v>
          </cell>
        </row>
        <row r="60">
          <cell r="P60">
            <v>21.188792508147095</v>
          </cell>
        </row>
        <row r="61">
          <cell r="P61">
            <v>10.263392850610167</v>
          </cell>
        </row>
        <row r="62">
          <cell r="P62">
            <v>28.643477715767389</v>
          </cell>
        </row>
        <row r="63">
          <cell r="P63">
            <v>116.81975866661671</v>
          </cell>
        </row>
        <row r="64">
          <cell r="P64">
            <v>104.29614874178957</v>
          </cell>
        </row>
        <row r="65">
          <cell r="P65">
            <v>62.549959164553528</v>
          </cell>
        </row>
        <row r="66">
          <cell r="P66">
            <v>334.1909380485165</v>
          </cell>
        </row>
        <row r="67">
          <cell r="P67">
            <v>-1.5308150136254652</v>
          </cell>
        </row>
        <row r="68">
          <cell r="P68">
            <v>-5.6291934515707824</v>
          </cell>
        </row>
        <row r="69">
          <cell r="P69">
            <v>-1.1089238686873388</v>
          </cell>
        </row>
        <row r="71">
          <cell r="P71">
            <v>-4.8437083701565822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FS-Linear"/>
      <sheetName val="GFS in Assay Summary"/>
      <sheetName val="GFS-Quad-Ending (2)"/>
      <sheetName val="GFS-Quad-Ending"/>
      <sheetName val="GFS-Quad"/>
      <sheetName val="Sheet1"/>
    </sheetNames>
    <sheetDataSet>
      <sheetData sheetId="0"/>
      <sheetData sheetId="1"/>
      <sheetData sheetId="2">
        <row r="71">
          <cell r="AJ71">
            <v>4</v>
          </cell>
          <cell r="AK71">
            <v>465.21117651276387</v>
          </cell>
        </row>
        <row r="72">
          <cell r="AK72">
            <v>170.17176340344352</v>
          </cell>
        </row>
        <row r="73">
          <cell r="AK73">
            <v>340.29642713813917</v>
          </cell>
        </row>
        <row r="74">
          <cell r="AK74">
            <v>233.24838429981111</v>
          </cell>
        </row>
        <row r="75">
          <cell r="AK75">
            <v>237.98235002929687</v>
          </cell>
        </row>
        <row r="76">
          <cell r="AK76">
            <v>317.95879431137979</v>
          </cell>
        </row>
        <row r="77">
          <cell r="AK77">
            <v>493.70680903300189</v>
          </cell>
        </row>
        <row r="78">
          <cell r="AK78">
            <v>203.11059768711317</v>
          </cell>
        </row>
        <row r="79">
          <cell r="AK79">
            <v>884.0855677542321</v>
          </cell>
        </row>
        <row r="80">
          <cell r="AK80">
            <v>829.22196047482032</v>
          </cell>
        </row>
        <row r="81">
          <cell r="AK81">
            <v>231.22933122557191</v>
          </cell>
        </row>
        <row r="82">
          <cell r="AK82">
            <v>278.64077258566851</v>
          </cell>
        </row>
        <row r="83">
          <cell r="AK83">
            <v>284.39322165427473</v>
          </cell>
        </row>
        <row r="84">
          <cell r="AK84">
            <v>560.02660719257426</v>
          </cell>
        </row>
        <row r="85">
          <cell r="AK85">
            <v>697.33197880763078</v>
          </cell>
        </row>
        <row r="86">
          <cell r="AK86">
            <v>492.39845512222291</v>
          </cell>
        </row>
        <row r="87">
          <cell r="AK87">
            <v>-27.031217596952501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AB53-F094-7844-B609-169A3ACBA5D3}">
  <dimension ref="A1:AA18"/>
  <sheetViews>
    <sheetView tabSelected="1" workbookViewId="0">
      <selection activeCell="Y18" sqref="Y18:AA18"/>
    </sheetView>
  </sheetViews>
  <sheetFormatPr baseColWidth="10" defaultRowHeight="16" x14ac:dyDescent="0.2"/>
  <cols>
    <col min="1" max="1" width="9" bestFit="1" customWidth="1"/>
    <col min="2" max="2" width="5.6640625" bestFit="1" customWidth="1"/>
    <col min="3" max="4" width="4.83203125" bestFit="1" customWidth="1"/>
    <col min="5" max="5" width="11.1640625" bestFit="1" customWidth="1"/>
    <col min="6" max="6" width="7.5" bestFit="1" customWidth="1"/>
    <col min="7" max="7" width="7.5" customWidth="1"/>
    <col min="8" max="8" width="6.33203125" bestFit="1" customWidth="1"/>
    <col min="9" max="9" width="8.33203125" bestFit="1" customWidth="1"/>
    <col min="10" max="10" width="6.33203125" bestFit="1" customWidth="1"/>
    <col min="11" max="11" width="8.33203125" bestFit="1" customWidth="1"/>
    <col min="12" max="12" width="6.33203125" bestFit="1" customWidth="1"/>
    <col min="13" max="13" width="8.33203125" bestFit="1" customWidth="1"/>
    <col min="14" max="14" width="6.33203125" bestFit="1" customWidth="1"/>
    <col min="15" max="15" width="8.33203125" bestFit="1" customWidth="1"/>
    <col min="16" max="19" width="10.1640625" bestFit="1" customWidth="1"/>
    <col min="20" max="23" width="7" bestFit="1" customWidth="1"/>
    <col min="24" max="24" width="9.33203125" bestFit="1" customWidth="1"/>
    <col min="25" max="25" width="15.1640625" bestFit="1" customWidth="1"/>
    <col min="26" max="26" width="13.1640625" bestFit="1" customWidth="1"/>
    <col min="27" max="27" width="8.33203125" bestFit="1" customWidth="1"/>
  </cols>
  <sheetData>
    <row r="1" spans="1:27" x14ac:dyDescent="0.2">
      <c r="A1" s="1" t="s">
        <v>0</v>
      </c>
      <c r="B1" s="1" t="s">
        <v>18</v>
      </c>
      <c r="C1" s="35" t="s">
        <v>39</v>
      </c>
      <c r="D1" s="35" t="s">
        <v>40</v>
      </c>
      <c r="E1" s="35" t="s">
        <v>41</v>
      </c>
      <c r="F1" s="35" t="s">
        <v>42</v>
      </c>
      <c r="G1" s="35" t="s">
        <v>43</v>
      </c>
      <c r="H1" s="2" t="s">
        <v>23</v>
      </c>
      <c r="I1" s="3" t="s">
        <v>24</v>
      </c>
      <c r="J1" s="2" t="s">
        <v>25</v>
      </c>
      <c r="K1" s="3" t="s">
        <v>26</v>
      </c>
      <c r="L1" s="2" t="s">
        <v>27</v>
      </c>
      <c r="M1" s="3" t="s">
        <v>28</v>
      </c>
      <c r="N1" s="2" t="s">
        <v>29</v>
      </c>
      <c r="O1" s="3" t="s">
        <v>30</v>
      </c>
      <c r="P1" s="15" t="s">
        <v>31</v>
      </c>
      <c r="Q1" s="11" t="s">
        <v>32</v>
      </c>
      <c r="R1" s="11" t="s">
        <v>33</v>
      </c>
      <c r="S1" s="16" t="s">
        <v>34</v>
      </c>
      <c r="T1" s="21" t="s">
        <v>35</v>
      </c>
      <c r="U1" t="s">
        <v>36</v>
      </c>
      <c r="V1" t="s">
        <v>37</v>
      </c>
      <c r="W1" t="s">
        <v>38</v>
      </c>
      <c r="X1" s="20" t="s">
        <v>22</v>
      </c>
      <c r="Y1" s="26" t="s">
        <v>19</v>
      </c>
      <c r="Z1" s="27" t="s">
        <v>20</v>
      </c>
      <c r="AA1" s="20" t="s">
        <v>21</v>
      </c>
    </row>
    <row r="2" spans="1:27" x14ac:dyDescent="0.2">
      <c r="A2" s="4" t="s">
        <v>1</v>
      </c>
      <c r="B2" s="5">
        <v>0.41666666666666669</v>
      </c>
      <c r="C2" s="35">
        <v>186</v>
      </c>
      <c r="D2" s="35">
        <v>11</v>
      </c>
      <c r="E2" s="35">
        <v>186.45833300000001</v>
      </c>
      <c r="F2" s="37">
        <v>44747</v>
      </c>
      <c r="G2" s="37" t="str">
        <f>_xlfn.CONCAT("DOY ", C2, ": ", TEXT(F2,"mm/dd/yy"))</f>
        <v>DOY 186: 07/05/22</v>
      </c>
      <c r="H2" s="6">
        <v>237.66868048318065</v>
      </c>
      <c r="I2" s="7">
        <v>298.19228923372259</v>
      </c>
      <c r="J2" s="6">
        <v>0</v>
      </c>
      <c r="K2" s="7">
        <v>0</v>
      </c>
      <c r="L2" s="6">
        <v>300.83400589521011</v>
      </c>
      <c r="M2" s="7">
        <v>0</v>
      </c>
      <c r="N2" s="6">
        <v>242.09094245417532</v>
      </c>
      <c r="O2" s="7">
        <v>305.10927775365462</v>
      </c>
      <c r="P2" s="15">
        <f t="shared" ref="P2:P17" si="0">H2+I2</f>
        <v>535.86096971690324</v>
      </c>
      <c r="Q2" s="11">
        <f t="shared" ref="Q2:Q17" si="1">J2+K2</f>
        <v>0</v>
      </c>
      <c r="R2" s="11">
        <f t="shared" ref="R2:R17" si="2">L2+M2</f>
        <v>300.83400589521011</v>
      </c>
      <c r="S2" s="16">
        <f>N2+O2</f>
        <v>547.20022020782994</v>
      </c>
      <c r="T2" s="22">
        <v>1</v>
      </c>
      <c r="U2" s="23">
        <v>0</v>
      </c>
      <c r="V2" s="23">
        <v>0</v>
      </c>
      <c r="W2" s="23">
        <v>1</v>
      </c>
      <c r="X2" s="24">
        <f>SUM(T2:W2)</f>
        <v>2</v>
      </c>
      <c r="Y2" s="28">
        <f>(P2*T2+Q2*U2+R2*V2+S2*W2)/X2</f>
        <v>541.53059496236665</v>
      </c>
      <c r="Z2" s="13">
        <f>SQRT((((P2-Y2)^2)*T2+((Q2-Y2)^2)*U2+((R2-Y2)^2)*V2+((S2-Y2)^2)*W2)/X2)</f>
        <v>5.6696252454633509</v>
      </c>
      <c r="AA2" s="29">
        <f>Z2/Y2</f>
        <v>1.0469630521720306E-2</v>
      </c>
    </row>
    <row r="3" spans="1:27" x14ac:dyDescent="0.2">
      <c r="A3" s="4" t="s">
        <v>2</v>
      </c>
      <c r="B3" s="5">
        <v>0.54166666666666663</v>
      </c>
      <c r="C3" s="35">
        <v>186</v>
      </c>
      <c r="D3" s="35">
        <v>14</v>
      </c>
      <c r="E3" s="35">
        <v>186.58333300000001</v>
      </c>
      <c r="F3" s="37">
        <v>44747</v>
      </c>
      <c r="G3" s="37" t="str">
        <f t="shared" ref="G3:G17" si="3">_xlfn.CONCAT("DOY ", C3, ": ", TEXT(F3,"mm/dd/yy"))</f>
        <v>DOY 186: 07/05/22</v>
      </c>
      <c r="H3" s="6">
        <v>181.5635864163867</v>
      </c>
      <c r="I3" s="7">
        <v>245.10638297872342</v>
      </c>
      <c r="J3" s="6">
        <v>143.50843801865386</v>
      </c>
      <c r="K3" s="7">
        <v>573.01740812379091</v>
      </c>
      <c r="L3" s="6">
        <v>141.05308408130588</v>
      </c>
      <c r="M3" s="7">
        <v>354.76930432703801</v>
      </c>
      <c r="N3" s="6">
        <v>112.84987081474326</v>
      </c>
      <c r="O3" s="7">
        <v>355.79196217494092</v>
      </c>
      <c r="P3" s="15">
        <f t="shared" si="0"/>
        <v>426.66996939511012</v>
      </c>
      <c r="Q3" s="11">
        <f t="shared" si="1"/>
        <v>716.52584614244483</v>
      </c>
      <c r="R3" s="11">
        <f t="shared" si="2"/>
        <v>495.8223884083439</v>
      </c>
      <c r="S3" s="16">
        <f t="shared" ref="S3:S17" si="4">N3+O3</f>
        <v>468.64183298968419</v>
      </c>
      <c r="T3" s="22">
        <v>1</v>
      </c>
      <c r="U3" s="23">
        <v>1</v>
      </c>
      <c r="V3" s="23">
        <v>1</v>
      </c>
      <c r="W3" s="23">
        <v>1</v>
      </c>
      <c r="X3" s="24">
        <f t="shared" ref="X3:X17" si="5">SUM(T3:W3)</f>
        <v>4</v>
      </c>
      <c r="Y3" s="28">
        <f t="shared" ref="Y3:Y17" si="6">(P3*T3+Q3*U3+R3*V3+S3*W3)/X3</f>
        <v>526.91500923389572</v>
      </c>
      <c r="Z3" s="13">
        <f t="shared" ref="Z3:Z17" si="7">SQRT((((P3-Y3)^2)*T3+((Q3-Y3)^2)*U3+((R3-Y3)^2)*V3+((S3-Y3)^2)*W3)/X3)</f>
        <v>112.20945996754307</v>
      </c>
      <c r="AA3" s="29">
        <f t="shared" ref="AA3:AA18" si="8">Z3/Y3</f>
        <v>0.21295552034224496</v>
      </c>
    </row>
    <row r="4" spans="1:27" x14ac:dyDescent="0.2">
      <c r="A4" s="4" t="s">
        <v>3</v>
      </c>
      <c r="B4" s="5">
        <v>0.66666666666666663</v>
      </c>
      <c r="C4" s="35">
        <v>186</v>
      </c>
      <c r="D4" s="35">
        <v>17</v>
      </c>
      <c r="E4" s="35">
        <v>186.70833300000001</v>
      </c>
      <c r="F4" s="37">
        <v>44747</v>
      </c>
      <c r="G4" s="37" t="str">
        <f t="shared" si="3"/>
        <v>DOY 186: 07/05/22</v>
      </c>
      <c r="H4" s="6">
        <v>140.69956422575962</v>
      </c>
      <c r="I4" s="7">
        <v>335.59680096574607</v>
      </c>
      <c r="J4" s="6">
        <v>185.55619478489623</v>
      </c>
      <c r="K4" s="7">
        <v>924.47620594445357</v>
      </c>
      <c r="L4" s="6">
        <v>121.57443839034667</v>
      </c>
      <c r="M4" s="7">
        <v>381.56967732844851</v>
      </c>
      <c r="N4" s="6">
        <v>125.48320886397224</v>
      </c>
      <c r="O4" s="7">
        <v>914.64330413016273</v>
      </c>
      <c r="P4" s="15">
        <f t="shared" si="0"/>
        <v>476.29636519150569</v>
      </c>
      <c r="Q4" s="11">
        <f t="shared" si="1"/>
        <v>1110.0324007293498</v>
      </c>
      <c r="R4" s="11">
        <f t="shared" si="2"/>
        <v>503.14411571879521</v>
      </c>
      <c r="S4" s="16">
        <f t="shared" si="4"/>
        <v>1040.1265129941351</v>
      </c>
      <c r="T4" s="22">
        <v>0</v>
      </c>
      <c r="U4" s="23">
        <v>1</v>
      </c>
      <c r="V4" s="23">
        <v>0</v>
      </c>
      <c r="W4" s="23">
        <v>1</v>
      </c>
      <c r="X4" s="24">
        <f t="shared" si="5"/>
        <v>2</v>
      </c>
      <c r="Y4" s="28">
        <f t="shared" si="6"/>
        <v>1075.0794568617425</v>
      </c>
      <c r="Z4" s="13">
        <f t="shared" si="7"/>
        <v>34.95294386760736</v>
      </c>
      <c r="AA4" s="29">
        <f t="shared" si="8"/>
        <v>3.2511963320030569E-2</v>
      </c>
    </row>
    <row r="5" spans="1:27" x14ac:dyDescent="0.2">
      <c r="A5" s="4" t="s">
        <v>4</v>
      </c>
      <c r="B5" s="5">
        <v>0.79166666666666663</v>
      </c>
      <c r="C5" s="35">
        <v>186</v>
      </c>
      <c r="D5" s="35">
        <v>20</v>
      </c>
      <c r="E5" s="35">
        <v>186.83333300000001</v>
      </c>
      <c r="F5" s="37">
        <v>44747</v>
      </c>
      <c r="G5" s="37" t="str">
        <f t="shared" si="3"/>
        <v>DOY 186: 07/05/22</v>
      </c>
      <c r="H5" s="6">
        <v>114.82192995044809</v>
      </c>
      <c r="I5" s="7">
        <v>961.93214491086837</v>
      </c>
      <c r="J5" s="6">
        <v>118.38332472116537</v>
      </c>
      <c r="K5" s="7">
        <v>804.32911081047826</v>
      </c>
      <c r="L5" s="6">
        <v>112.34983787196893</v>
      </c>
      <c r="M5" s="7">
        <v>851.06382978723377</v>
      </c>
      <c r="N5" s="6">
        <v>118.69242113730283</v>
      </c>
      <c r="O5" s="7">
        <v>828.93617021276589</v>
      </c>
      <c r="P5" s="15">
        <f t="shared" si="0"/>
        <v>1076.7540748613164</v>
      </c>
      <c r="Q5" s="11">
        <f t="shared" si="1"/>
        <v>922.71243553164368</v>
      </c>
      <c r="R5" s="11">
        <f t="shared" si="2"/>
        <v>963.4136676592027</v>
      </c>
      <c r="S5" s="16">
        <f t="shared" si="4"/>
        <v>947.62859135006875</v>
      </c>
      <c r="T5" s="22">
        <v>1</v>
      </c>
      <c r="U5" s="23">
        <v>0</v>
      </c>
      <c r="V5" s="23">
        <v>1</v>
      </c>
      <c r="W5" s="23">
        <v>1</v>
      </c>
      <c r="X5" s="24">
        <f t="shared" si="5"/>
        <v>3</v>
      </c>
      <c r="Y5" s="28">
        <f t="shared" si="6"/>
        <v>995.93211129019585</v>
      </c>
      <c r="Z5" s="13">
        <f t="shared" si="7"/>
        <v>57.511937920979733</v>
      </c>
      <c r="AA5" s="29">
        <f t="shared" si="8"/>
        <v>5.7746845662476926E-2</v>
      </c>
    </row>
    <row r="6" spans="1:27" x14ac:dyDescent="0.2">
      <c r="A6" s="4" t="s">
        <v>5</v>
      </c>
      <c r="B6" s="5">
        <v>0.91666666666666663</v>
      </c>
      <c r="C6" s="35">
        <v>186</v>
      </c>
      <c r="D6" s="35">
        <v>23</v>
      </c>
      <c r="E6" s="35">
        <v>186.95833300000001</v>
      </c>
      <c r="F6" s="37">
        <v>44747</v>
      </c>
      <c r="G6" s="37" t="str">
        <f t="shared" si="3"/>
        <v>DOY 186: 07/05/22</v>
      </c>
      <c r="H6" s="6">
        <v>114.82192995044809</v>
      </c>
      <c r="I6" s="7">
        <v>961.93214491086837</v>
      </c>
      <c r="J6" s="6">
        <v>118.38332472116537</v>
      </c>
      <c r="K6" s="7">
        <v>804.32911081047826</v>
      </c>
      <c r="L6" s="6">
        <v>112.34983787196893</v>
      </c>
      <c r="M6" s="7">
        <v>851.06382978723377</v>
      </c>
      <c r="N6" s="6">
        <v>118.69242113730283</v>
      </c>
      <c r="O6" s="7">
        <v>828.93617021276589</v>
      </c>
      <c r="P6" s="15">
        <f t="shared" si="0"/>
        <v>1076.7540748613164</v>
      </c>
      <c r="Q6" s="11">
        <f t="shared" si="1"/>
        <v>922.71243553164368</v>
      </c>
      <c r="R6" s="11">
        <f t="shared" si="2"/>
        <v>963.4136676592027</v>
      </c>
      <c r="S6" s="16">
        <f t="shared" si="4"/>
        <v>947.62859135006875</v>
      </c>
      <c r="T6" s="22">
        <v>1</v>
      </c>
      <c r="U6" s="23">
        <v>0</v>
      </c>
      <c r="V6" s="23">
        <v>1</v>
      </c>
      <c r="W6" s="23">
        <v>1</v>
      </c>
      <c r="X6" s="24">
        <f t="shared" si="5"/>
        <v>3</v>
      </c>
      <c r="Y6" s="28">
        <f t="shared" si="6"/>
        <v>995.93211129019585</v>
      </c>
      <c r="Z6" s="13">
        <f t="shared" si="7"/>
        <v>57.511937920979733</v>
      </c>
      <c r="AA6" s="29">
        <f t="shared" si="8"/>
        <v>5.7746845662476926E-2</v>
      </c>
    </row>
    <row r="7" spans="1:27" x14ac:dyDescent="0.2">
      <c r="A7" s="4" t="s">
        <v>6</v>
      </c>
      <c r="B7" s="5">
        <v>4.1666666666666664E-2</v>
      </c>
      <c r="C7" s="35">
        <v>187</v>
      </c>
      <c r="D7" s="35">
        <v>2</v>
      </c>
      <c r="E7" s="35">
        <v>187.08333300000001</v>
      </c>
      <c r="F7" s="37">
        <v>44748</v>
      </c>
      <c r="G7" s="37" t="str">
        <f t="shared" si="3"/>
        <v>DOY 187: 07/06/22</v>
      </c>
      <c r="H7" s="6">
        <v>124.21552147170542</v>
      </c>
      <c r="I7" s="7">
        <v>305.63752135424755</v>
      </c>
      <c r="J7" s="6">
        <v>118.20956768531687</v>
      </c>
      <c r="K7" s="7">
        <v>474.5862884160756</v>
      </c>
      <c r="L7" s="6">
        <v>94.797674415623945</v>
      </c>
      <c r="M7" s="7">
        <v>559.55001222792873</v>
      </c>
      <c r="N7" s="6">
        <v>110.52035721893125</v>
      </c>
      <c r="O7" s="7">
        <v>337.29662077596993</v>
      </c>
      <c r="P7" s="15">
        <f t="shared" si="0"/>
        <v>429.85304282595297</v>
      </c>
      <c r="Q7" s="11">
        <f t="shared" si="1"/>
        <v>592.79585610139247</v>
      </c>
      <c r="R7" s="11">
        <f t="shared" si="2"/>
        <v>654.34768664355272</v>
      </c>
      <c r="S7" s="16">
        <f t="shared" si="4"/>
        <v>447.81697799490121</v>
      </c>
      <c r="T7" s="22">
        <v>1</v>
      </c>
      <c r="U7" s="23">
        <v>1</v>
      </c>
      <c r="V7" s="23">
        <v>1</v>
      </c>
      <c r="W7" s="23">
        <v>1</v>
      </c>
      <c r="X7" s="24">
        <f t="shared" si="5"/>
        <v>4</v>
      </c>
      <c r="Y7" s="28">
        <f t="shared" si="6"/>
        <v>531.20339089144989</v>
      </c>
      <c r="Z7" s="13">
        <f t="shared" si="7"/>
        <v>95.109589757908267</v>
      </c>
      <c r="AA7" s="29">
        <f t="shared" si="8"/>
        <v>0.17904552453684106</v>
      </c>
    </row>
    <row r="8" spans="1:27" x14ac:dyDescent="0.2">
      <c r="A8" s="4" t="s">
        <v>7</v>
      </c>
      <c r="B8" s="5">
        <v>0.16666666666666666</v>
      </c>
      <c r="C8" s="35">
        <v>187</v>
      </c>
      <c r="D8" s="35">
        <v>5</v>
      </c>
      <c r="E8" s="35">
        <v>187.20833300000001</v>
      </c>
      <c r="F8" s="37">
        <v>44748</v>
      </c>
      <c r="G8" s="37" t="str">
        <f t="shared" si="3"/>
        <v>DOY 187: 07/06/22</v>
      </c>
      <c r="H8" s="6">
        <v>125.32622225251546</v>
      </c>
      <c r="I8" s="7">
        <v>136.05034462091697</v>
      </c>
      <c r="J8" s="6">
        <v>141.98306023266682</v>
      </c>
      <c r="K8" s="7">
        <v>178.07974253531199</v>
      </c>
      <c r="L8" s="6">
        <v>144.55019768136211</v>
      </c>
      <c r="M8" s="7">
        <v>-5.0062578222778518</v>
      </c>
      <c r="N8" s="6">
        <v>126.50792322719713</v>
      </c>
      <c r="O8" s="7">
        <v>117.70031688546851</v>
      </c>
      <c r="P8" s="15">
        <f t="shared" si="0"/>
        <v>261.37656687343247</v>
      </c>
      <c r="Q8" s="11">
        <f t="shared" si="1"/>
        <v>320.06280276797884</v>
      </c>
      <c r="R8" s="11">
        <f t="shared" si="2"/>
        <v>139.54393985908425</v>
      </c>
      <c r="S8" s="16">
        <f t="shared" si="4"/>
        <v>244.20824011266564</v>
      </c>
      <c r="T8" s="22">
        <v>1</v>
      </c>
      <c r="U8" s="23">
        <v>1</v>
      </c>
      <c r="V8" s="23">
        <v>0</v>
      </c>
      <c r="W8" s="23">
        <v>1</v>
      </c>
      <c r="X8" s="24">
        <f t="shared" si="5"/>
        <v>3</v>
      </c>
      <c r="Y8" s="28">
        <f t="shared" si="6"/>
        <v>275.21586991802565</v>
      </c>
      <c r="Z8" s="13">
        <f t="shared" si="7"/>
        <v>32.476898461083316</v>
      </c>
      <c r="AA8" s="29">
        <f t="shared" si="8"/>
        <v>0.11800518069963303</v>
      </c>
    </row>
    <row r="9" spans="1:27" x14ac:dyDescent="0.2">
      <c r="A9" s="4" t="s">
        <v>8</v>
      </c>
      <c r="B9" s="5">
        <v>0.29166666666666669</v>
      </c>
      <c r="C9" s="35">
        <v>187</v>
      </c>
      <c r="D9" s="35">
        <v>8</v>
      </c>
      <c r="E9" s="35">
        <v>187.33333300000001</v>
      </c>
      <c r="F9" s="37">
        <v>44748</v>
      </c>
      <c r="G9" s="37" t="str">
        <f t="shared" si="3"/>
        <v>DOY 187: 07/06/22</v>
      </c>
      <c r="H9" s="6">
        <v>107.89664774246643</v>
      </c>
      <c r="I9" s="7">
        <v>34.392305450305997</v>
      </c>
      <c r="J9" s="6">
        <v>119.81979656653132</v>
      </c>
      <c r="K9" s="7">
        <v>22.579244463742963</v>
      </c>
      <c r="L9" s="6">
        <v>114.97713403039411</v>
      </c>
      <c r="M9" s="7">
        <v>44.351213664968505</v>
      </c>
      <c r="N9" s="6">
        <v>136.01043293190023</v>
      </c>
      <c r="O9" s="7">
        <v>-6.3630940544839989</v>
      </c>
      <c r="P9" s="15">
        <f t="shared" si="0"/>
        <v>142.28895319277242</v>
      </c>
      <c r="Q9" s="11">
        <f t="shared" si="1"/>
        <v>142.39904103027428</v>
      </c>
      <c r="R9" s="11">
        <f t="shared" si="2"/>
        <v>159.32834769536262</v>
      </c>
      <c r="S9" s="16">
        <f t="shared" si="4"/>
        <v>129.64733887741622</v>
      </c>
      <c r="T9" s="22">
        <v>1</v>
      </c>
      <c r="U9" s="23">
        <v>1</v>
      </c>
      <c r="V9" s="23">
        <v>1</v>
      </c>
      <c r="W9" s="23">
        <v>0</v>
      </c>
      <c r="X9" s="24">
        <f t="shared" si="5"/>
        <v>3</v>
      </c>
      <c r="Y9" s="28">
        <f t="shared" si="6"/>
        <v>148.00544730613646</v>
      </c>
      <c r="Z9" s="13">
        <f t="shared" si="7"/>
        <v>8.0066257874856479</v>
      </c>
      <c r="AA9" s="29">
        <f t="shared" si="8"/>
        <v>5.4096831793796311E-2</v>
      </c>
    </row>
    <row r="10" spans="1:27" x14ac:dyDescent="0.2">
      <c r="A10" s="4" t="s">
        <v>9</v>
      </c>
      <c r="B10" s="5">
        <v>0.29166666666666669</v>
      </c>
      <c r="C10" s="35">
        <v>209</v>
      </c>
      <c r="D10" s="35">
        <v>8</v>
      </c>
      <c r="E10" s="35">
        <v>209.33333300000001</v>
      </c>
      <c r="F10" s="37">
        <v>44770</v>
      </c>
      <c r="G10" s="37" t="str">
        <f t="shared" si="3"/>
        <v>DOY 209: 07/28/22</v>
      </c>
      <c r="H10" s="6">
        <v>172.11920169044689</v>
      </c>
      <c r="I10" s="7">
        <v>143.80044020542917</v>
      </c>
      <c r="J10" s="6">
        <v>168.23920567045622</v>
      </c>
      <c r="K10" s="7">
        <v>12.31098621704805</v>
      </c>
      <c r="L10" s="6">
        <v>159.77483523166671</v>
      </c>
      <c r="M10" s="7">
        <v>1800.8510638297873</v>
      </c>
      <c r="N10" s="6">
        <v>212.26668877116214</v>
      </c>
      <c r="O10" s="7">
        <v>104.21189752496751</v>
      </c>
      <c r="P10" s="15">
        <f t="shared" si="0"/>
        <v>315.91964189587605</v>
      </c>
      <c r="Q10" s="11">
        <f t="shared" si="1"/>
        <v>180.55019188750427</v>
      </c>
      <c r="R10" s="11">
        <f t="shared" si="2"/>
        <v>1960.625899061454</v>
      </c>
      <c r="S10" s="16">
        <f t="shared" si="4"/>
        <v>316.47858629612966</v>
      </c>
      <c r="T10" s="22">
        <v>1</v>
      </c>
      <c r="U10" s="23">
        <v>0</v>
      </c>
      <c r="V10" s="23">
        <v>0</v>
      </c>
      <c r="W10" s="23">
        <v>1</v>
      </c>
      <c r="X10" s="24">
        <f t="shared" si="5"/>
        <v>2</v>
      </c>
      <c r="Y10" s="28">
        <f t="shared" si="6"/>
        <v>316.19911409600286</v>
      </c>
      <c r="Z10" s="13">
        <f t="shared" si="7"/>
        <v>0.27947220012680418</v>
      </c>
      <c r="AA10" s="29">
        <f t="shared" si="8"/>
        <v>8.8384877650843818E-4</v>
      </c>
    </row>
    <row r="11" spans="1:27" x14ac:dyDescent="0.2">
      <c r="A11" s="4" t="s">
        <v>10</v>
      </c>
      <c r="B11" s="5">
        <v>0.54166666666666663</v>
      </c>
      <c r="C11" s="35">
        <v>209</v>
      </c>
      <c r="D11" s="35">
        <v>13</v>
      </c>
      <c r="E11" s="35">
        <v>209.54166699999999</v>
      </c>
      <c r="F11" s="37">
        <v>44770</v>
      </c>
      <c r="G11" s="37" t="str">
        <f t="shared" si="3"/>
        <v>DOY 209: 07/28/22</v>
      </c>
      <c r="H11" s="6">
        <v>188.21462146621664</v>
      </c>
      <c r="I11" s="7">
        <v>218.31637372802959</v>
      </c>
      <c r="J11" s="6">
        <v>246.76972584016551</v>
      </c>
      <c r="K11" s="7">
        <v>719.59868534855559</v>
      </c>
      <c r="L11" s="6">
        <v>200.54647255086434</v>
      </c>
      <c r="M11" s="7">
        <v>894.68979080994086</v>
      </c>
      <c r="N11" s="6">
        <v>268.25353714282841</v>
      </c>
      <c r="O11" s="7">
        <v>541.08285763708705</v>
      </c>
      <c r="P11" s="15">
        <f t="shared" si="0"/>
        <v>406.5309951942462</v>
      </c>
      <c r="Q11" s="11">
        <f t="shared" si="1"/>
        <v>966.3684111887211</v>
      </c>
      <c r="R11" s="11">
        <f t="shared" si="2"/>
        <v>1095.2362633608052</v>
      </c>
      <c r="S11" s="16">
        <f t="shared" si="4"/>
        <v>809.33639477991551</v>
      </c>
      <c r="T11" s="22">
        <v>1</v>
      </c>
      <c r="U11" s="23">
        <v>1</v>
      </c>
      <c r="V11" s="23">
        <v>1</v>
      </c>
      <c r="W11" s="23">
        <v>1</v>
      </c>
      <c r="X11" s="24">
        <f t="shared" si="5"/>
        <v>4</v>
      </c>
      <c r="Y11" s="28">
        <f t="shared" si="6"/>
        <v>819.36801613092189</v>
      </c>
      <c r="Z11" s="13">
        <f t="shared" si="7"/>
        <v>258.96305009577924</v>
      </c>
      <c r="AA11" s="29">
        <f t="shared" si="8"/>
        <v>0.31605218289897358</v>
      </c>
    </row>
    <row r="12" spans="1:27" x14ac:dyDescent="0.2">
      <c r="A12" s="4" t="s">
        <v>11</v>
      </c>
      <c r="B12" s="5">
        <v>0.29166666666666669</v>
      </c>
      <c r="C12" s="35">
        <v>236</v>
      </c>
      <c r="D12" s="35">
        <v>8</v>
      </c>
      <c r="E12" s="35">
        <v>236.33333300000001</v>
      </c>
      <c r="F12" s="37">
        <v>44797</v>
      </c>
      <c r="G12" s="37" t="str">
        <f t="shared" si="3"/>
        <v>DOY 236: 08/24/22</v>
      </c>
      <c r="H12" s="6">
        <v>87.794448750112721</v>
      </c>
      <c r="I12" s="7">
        <v>1032.4613930034668</v>
      </c>
      <c r="J12" s="6">
        <v>83.360043821653349</v>
      </c>
      <c r="K12" s="7">
        <v>-3.9442869468753883</v>
      </c>
      <c r="L12" s="6">
        <v>79.109885926718263</v>
      </c>
      <c r="M12" s="7">
        <v>628.88564695320383</v>
      </c>
      <c r="N12" s="6">
        <v>86.690625056561558</v>
      </c>
      <c r="O12" s="7">
        <v>493.53383458646613</v>
      </c>
      <c r="P12" s="15">
        <f t="shared" si="0"/>
        <v>1120.2558417535795</v>
      </c>
      <c r="Q12" s="11">
        <f t="shared" si="1"/>
        <v>79.415756874777955</v>
      </c>
      <c r="R12" s="11">
        <f t="shared" si="2"/>
        <v>707.99553287992205</v>
      </c>
      <c r="S12" s="16">
        <f t="shared" si="4"/>
        <v>580.22445964302767</v>
      </c>
      <c r="T12" s="22">
        <v>1</v>
      </c>
      <c r="U12" s="23">
        <v>0</v>
      </c>
      <c r="V12" s="23">
        <v>1</v>
      </c>
      <c r="W12" s="23">
        <v>1</v>
      </c>
      <c r="X12" s="24">
        <f t="shared" si="5"/>
        <v>3</v>
      </c>
      <c r="Y12" s="28">
        <f t="shared" si="6"/>
        <v>802.82527809217652</v>
      </c>
      <c r="Z12" s="13">
        <f t="shared" si="7"/>
        <v>230.43868866262309</v>
      </c>
      <c r="AA12" s="29">
        <f t="shared" si="8"/>
        <v>0.2870346698726709</v>
      </c>
    </row>
    <row r="13" spans="1:27" x14ac:dyDescent="0.2">
      <c r="A13" s="4" t="s">
        <v>12</v>
      </c>
      <c r="B13" s="5">
        <v>0.54166666666666663</v>
      </c>
      <c r="C13" s="35">
        <v>236</v>
      </c>
      <c r="D13" s="35">
        <v>13</v>
      </c>
      <c r="E13" s="35">
        <v>236.54166699999999</v>
      </c>
      <c r="F13" s="37">
        <v>44797</v>
      </c>
      <c r="G13" s="37" t="str">
        <f t="shared" si="3"/>
        <v>DOY 236: 08/24/22</v>
      </c>
      <c r="H13" s="6">
        <v>87.172204177046211</v>
      </c>
      <c r="I13" s="7">
        <v>1178.7969924812032</v>
      </c>
      <c r="J13" s="6">
        <v>69.342358367634972</v>
      </c>
      <c r="K13" s="7">
        <v>1085.5137844611529</v>
      </c>
      <c r="L13" s="6">
        <v>109.95584941933831</v>
      </c>
      <c r="M13" s="7">
        <v>953.40261481729829</v>
      </c>
      <c r="N13" s="6">
        <v>76.40490891613716</v>
      </c>
      <c r="O13" s="7">
        <v>1118.22108462646</v>
      </c>
      <c r="P13" s="15">
        <f t="shared" si="0"/>
        <v>1265.9691966582495</v>
      </c>
      <c r="Q13" s="11">
        <f t="shared" si="1"/>
        <v>1154.8561428287878</v>
      </c>
      <c r="R13" s="11">
        <f t="shared" si="2"/>
        <v>1063.3584642366366</v>
      </c>
      <c r="S13" s="16">
        <f t="shared" si="4"/>
        <v>1194.6259935425971</v>
      </c>
      <c r="T13" s="22">
        <v>1</v>
      </c>
      <c r="U13" s="23">
        <v>1</v>
      </c>
      <c r="V13" s="23">
        <v>1</v>
      </c>
      <c r="W13" s="23">
        <v>1</v>
      </c>
      <c r="X13" s="24">
        <f t="shared" si="5"/>
        <v>4</v>
      </c>
      <c r="Y13" s="28">
        <f t="shared" si="6"/>
        <v>1169.7024493165677</v>
      </c>
      <c r="Z13" s="13">
        <f t="shared" si="7"/>
        <v>73.174322134789477</v>
      </c>
      <c r="AA13" s="29">
        <f t="shared" si="8"/>
        <v>6.2558065239192828E-2</v>
      </c>
    </row>
    <row r="14" spans="1:27" x14ac:dyDescent="0.2">
      <c r="A14" s="4" t="s">
        <v>13</v>
      </c>
      <c r="B14" s="5">
        <v>0.79166666666666663</v>
      </c>
      <c r="C14" s="35">
        <v>236</v>
      </c>
      <c r="D14" s="35">
        <v>20</v>
      </c>
      <c r="E14" s="35">
        <v>236.83333300000001</v>
      </c>
      <c r="F14" s="37">
        <v>44797</v>
      </c>
      <c r="G14" s="37" t="str">
        <f t="shared" si="3"/>
        <v>DOY 236: 08/24/22</v>
      </c>
      <c r="H14" s="6">
        <v>83.469988763580403</v>
      </c>
      <c r="I14" s="7">
        <v>1622.7712137486574</v>
      </c>
      <c r="J14" s="6">
        <v>86.795857216242695</v>
      </c>
      <c r="K14" s="7">
        <v>1174.529243462639</v>
      </c>
      <c r="L14" s="6">
        <v>68.479386079205753</v>
      </c>
      <c r="M14" s="7">
        <v>1196.9284914413695</v>
      </c>
      <c r="N14" s="6">
        <v>77.795600208708464</v>
      </c>
      <c r="O14" s="7">
        <v>1076.375148397309</v>
      </c>
      <c r="P14" s="15">
        <f t="shared" si="0"/>
        <v>1706.2412025122378</v>
      </c>
      <c r="Q14" s="11">
        <f t="shared" si="1"/>
        <v>1261.3251006788817</v>
      </c>
      <c r="R14" s="11">
        <f t="shared" si="2"/>
        <v>1265.4078775205753</v>
      </c>
      <c r="S14" s="16">
        <f t="shared" si="4"/>
        <v>1154.1707486060175</v>
      </c>
      <c r="T14" s="22">
        <v>1</v>
      </c>
      <c r="U14" s="23">
        <v>1</v>
      </c>
      <c r="V14" s="23">
        <v>1</v>
      </c>
      <c r="W14" s="23">
        <v>1</v>
      </c>
      <c r="X14" s="24">
        <f t="shared" si="5"/>
        <v>4</v>
      </c>
      <c r="Y14" s="28">
        <f t="shared" si="6"/>
        <v>1346.7862323294282</v>
      </c>
      <c r="Z14" s="13">
        <f t="shared" si="7"/>
        <v>212.27025334082708</v>
      </c>
      <c r="AA14" s="29">
        <f t="shared" si="8"/>
        <v>0.15761243191035612</v>
      </c>
    </row>
    <row r="15" spans="1:27" x14ac:dyDescent="0.2">
      <c r="A15" s="4" t="s">
        <v>14</v>
      </c>
      <c r="B15" s="5">
        <v>0.29166666666666669</v>
      </c>
      <c r="C15" s="35">
        <v>258</v>
      </c>
      <c r="D15" s="35">
        <v>8</v>
      </c>
      <c r="E15" s="35">
        <v>258.33333299999998</v>
      </c>
      <c r="F15" s="37">
        <v>44819</v>
      </c>
      <c r="G15" s="37" t="str">
        <f t="shared" si="3"/>
        <v>DOY 258: 09/15/22</v>
      </c>
      <c r="H15" s="6">
        <v>68.476384287197689</v>
      </c>
      <c r="I15" s="7">
        <v>233.66107576633891</v>
      </c>
      <c r="J15" s="6">
        <v>58.85312596665004</v>
      </c>
      <c r="K15" s="7">
        <v>217.81325560597526</v>
      </c>
      <c r="L15" s="6">
        <v>65.633191441364374</v>
      </c>
      <c r="M15" s="7">
        <v>121.52831057234924</v>
      </c>
      <c r="N15" s="6">
        <v>72.057530266829758</v>
      </c>
      <c r="O15" s="7">
        <v>590.70327753084371</v>
      </c>
      <c r="P15" s="15">
        <f t="shared" si="0"/>
        <v>302.13746005353659</v>
      </c>
      <c r="Q15" s="11">
        <f t="shared" si="1"/>
        <v>276.66638157262531</v>
      </c>
      <c r="R15" s="11">
        <f t="shared" si="2"/>
        <v>187.16150201371363</v>
      </c>
      <c r="S15" s="16">
        <f t="shared" si="4"/>
        <v>662.76080779767346</v>
      </c>
      <c r="T15" s="22">
        <v>1</v>
      </c>
      <c r="U15" s="23">
        <v>1</v>
      </c>
      <c r="V15" s="23">
        <v>1</v>
      </c>
      <c r="W15" s="23">
        <v>0</v>
      </c>
      <c r="X15" s="24">
        <f t="shared" si="5"/>
        <v>3</v>
      </c>
      <c r="Y15" s="28">
        <f t="shared" si="6"/>
        <v>255.32178121329184</v>
      </c>
      <c r="Z15" s="13">
        <f t="shared" si="7"/>
        <v>49.305589305666118</v>
      </c>
      <c r="AA15" s="29">
        <f t="shared" si="8"/>
        <v>0.19311156718148145</v>
      </c>
    </row>
    <row r="16" spans="1:27" x14ac:dyDescent="0.2">
      <c r="A16" s="4" t="s">
        <v>15</v>
      </c>
      <c r="B16" s="5">
        <v>0.54166666666666663</v>
      </c>
      <c r="C16" s="35">
        <v>258</v>
      </c>
      <c r="D16" s="35">
        <v>13</v>
      </c>
      <c r="E16" s="35">
        <v>258.54166700000002</v>
      </c>
      <c r="F16" s="37">
        <v>44819</v>
      </c>
      <c r="G16" s="37" t="str">
        <f t="shared" si="3"/>
        <v>DOY 258: 09/15/22</v>
      </c>
      <c r="H16" s="6">
        <v>51.66435358103093</v>
      </c>
      <c r="I16" s="7">
        <v>-3.629764065335757</v>
      </c>
      <c r="J16" s="6">
        <v>63.6953464856105</v>
      </c>
      <c r="K16" s="7">
        <v>208.464710162503</v>
      </c>
      <c r="L16" s="6">
        <v>80.496326746339065</v>
      </c>
      <c r="M16" s="7">
        <v>63.413250106398081</v>
      </c>
      <c r="N16" s="6">
        <v>74.209127784057983</v>
      </c>
      <c r="O16" s="7">
        <v>94.762044776746379</v>
      </c>
      <c r="P16" s="15">
        <f t="shared" si="0"/>
        <v>48.034589515695174</v>
      </c>
      <c r="Q16" s="11">
        <f t="shared" si="1"/>
        <v>272.16005664811348</v>
      </c>
      <c r="R16" s="11">
        <f t="shared" si="2"/>
        <v>143.90957685273713</v>
      </c>
      <c r="S16" s="16">
        <f t="shared" si="4"/>
        <v>168.97117256080435</v>
      </c>
      <c r="T16" s="22">
        <v>0</v>
      </c>
      <c r="U16" s="23">
        <v>1</v>
      </c>
      <c r="V16" s="23">
        <v>1</v>
      </c>
      <c r="W16" s="23">
        <v>1</v>
      </c>
      <c r="X16" s="24">
        <f t="shared" si="5"/>
        <v>3</v>
      </c>
      <c r="Y16" s="28">
        <f t="shared" si="6"/>
        <v>195.01360202055164</v>
      </c>
      <c r="Z16" s="13">
        <f t="shared" si="7"/>
        <v>55.501966878423893</v>
      </c>
      <c r="AA16" s="29">
        <f t="shared" si="8"/>
        <v>0.28460561880486052</v>
      </c>
    </row>
    <row r="17" spans="1:27" ht="17" thickBot="1" x14ac:dyDescent="0.25">
      <c r="A17" s="4" t="s">
        <v>16</v>
      </c>
      <c r="B17" s="5">
        <v>0.79166666666666663</v>
      </c>
      <c r="C17" s="35">
        <v>258</v>
      </c>
      <c r="D17" s="35">
        <v>20</v>
      </c>
      <c r="E17" s="35">
        <v>258.83333299999998</v>
      </c>
      <c r="F17" s="37">
        <v>44819</v>
      </c>
      <c r="G17" s="37" t="str">
        <f t="shared" si="3"/>
        <v>DOY 258: 09/15/22</v>
      </c>
      <c r="H17" s="8">
        <v>57.737541926999285</v>
      </c>
      <c r="I17" s="9">
        <v>135.5501429630414</v>
      </c>
      <c r="J17" s="8">
        <v>66.167004040700306</v>
      </c>
      <c r="K17" s="9">
        <v>471.8045112781956</v>
      </c>
      <c r="L17" s="8">
        <v>70.439376760399057</v>
      </c>
      <c r="M17" s="9">
        <v>97.621101935165768</v>
      </c>
      <c r="N17" s="8">
        <v>66.353100154738314</v>
      </c>
      <c r="O17" s="9">
        <v>-0.47738393603057949</v>
      </c>
      <c r="P17" s="17">
        <f t="shared" si="0"/>
        <v>193.28768489004068</v>
      </c>
      <c r="Q17" s="18">
        <f t="shared" si="1"/>
        <v>537.97151531889585</v>
      </c>
      <c r="R17" s="18">
        <f t="shared" si="2"/>
        <v>168.06047869556483</v>
      </c>
      <c r="S17" s="19">
        <f t="shared" si="4"/>
        <v>65.875716218707737</v>
      </c>
      <c r="T17" s="33">
        <v>1</v>
      </c>
      <c r="U17" s="34">
        <v>0</v>
      </c>
      <c r="V17" s="34">
        <v>1</v>
      </c>
      <c r="W17" s="34">
        <v>1</v>
      </c>
      <c r="X17" s="25">
        <f t="shared" si="5"/>
        <v>3</v>
      </c>
      <c r="Y17" s="30">
        <f t="shared" si="6"/>
        <v>142.40795993477107</v>
      </c>
      <c r="Z17" s="31">
        <f t="shared" si="7"/>
        <v>55.087755622314944</v>
      </c>
      <c r="AA17" s="32">
        <f t="shared" si="8"/>
        <v>0.38683059323051527</v>
      </c>
    </row>
    <row r="18" spans="1:27" x14ac:dyDescent="0.2">
      <c r="A18" s="4"/>
      <c r="B18" s="4"/>
      <c r="C18" s="38"/>
      <c r="D18" s="38"/>
      <c r="E18" s="38"/>
      <c r="F18" s="36"/>
      <c r="G18" s="36"/>
      <c r="H18" s="4"/>
      <c r="I18" s="4"/>
      <c r="J18" s="4"/>
      <c r="K18" s="4"/>
      <c r="L18" s="4"/>
      <c r="M18" s="4"/>
      <c r="N18" s="4"/>
      <c r="O18" s="4"/>
      <c r="Y18" s="39"/>
      <c r="Z18" s="40"/>
      <c r="AA18" s="41"/>
    </row>
  </sheetData>
  <conditionalFormatting sqref="AA2:AA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F396-29C4-F943-9364-FC14281A2FC0}">
  <dimension ref="A1:AA19"/>
  <sheetViews>
    <sheetView workbookViewId="0">
      <selection activeCell="Y19" sqref="Y19:Z19"/>
    </sheetView>
  </sheetViews>
  <sheetFormatPr baseColWidth="10" defaultRowHeight="16" x14ac:dyDescent="0.2"/>
  <cols>
    <col min="2" max="2" width="5.6640625" bestFit="1" customWidth="1"/>
    <col min="3" max="4" width="4.83203125" bestFit="1" customWidth="1"/>
    <col min="5" max="5" width="11.1640625" bestFit="1" customWidth="1"/>
    <col min="6" max="6" width="7.5" bestFit="1" customWidth="1"/>
    <col min="7" max="7" width="16.5" bestFit="1" customWidth="1"/>
    <col min="8" max="8" width="6.33203125" bestFit="1" customWidth="1"/>
    <col min="9" max="9" width="8.33203125" bestFit="1" customWidth="1"/>
    <col min="10" max="10" width="6.33203125" bestFit="1" customWidth="1"/>
    <col min="11" max="11" width="8.33203125" bestFit="1" customWidth="1"/>
    <col min="12" max="12" width="6.6640625" bestFit="1" customWidth="1"/>
    <col min="13" max="13" width="8.33203125" bestFit="1" customWidth="1"/>
    <col min="14" max="14" width="6.33203125" bestFit="1" customWidth="1"/>
    <col min="15" max="15" width="8.33203125" bestFit="1" customWidth="1"/>
    <col min="16" max="19" width="10.1640625" bestFit="1" customWidth="1"/>
    <col min="20" max="23" width="7" bestFit="1" customWidth="1"/>
    <col min="24" max="24" width="9.33203125" bestFit="1" customWidth="1"/>
    <col min="25" max="25" width="15.1640625" bestFit="1" customWidth="1"/>
    <col min="26" max="26" width="13.1640625" bestFit="1" customWidth="1"/>
    <col min="27" max="27" width="8.33203125" bestFit="1" customWidth="1"/>
  </cols>
  <sheetData>
    <row r="1" spans="1:27" x14ac:dyDescent="0.2">
      <c r="A1" s="1" t="s">
        <v>0</v>
      </c>
      <c r="B1" s="1" t="s">
        <v>18</v>
      </c>
      <c r="C1" s="35" t="s">
        <v>39</v>
      </c>
      <c r="D1" s="35" t="s">
        <v>40</v>
      </c>
      <c r="E1" s="35" t="s">
        <v>41</v>
      </c>
      <c r="F1" s="35" t="s">
        <v>42</v>
      </c>
      <c r="G1" s="35" t="s">
        <v>43</v>
      </c>
      <c r="H1" s="2" t="s">
        <v>23</v>
      </c>
      <c r="I1" s="3" t="s">
        <v>24</v>
      </c>
      <c r="J1" s="2" t="s">
        <v>25</v>
      </c>
      <c r="K1" s="3" t="s">
        <v>26</v>
      </c>
      <c r="L1" s="2" t="s">
        <v>27</v>
      </c>
      <c r="M1" s="3" t="s">
        <v>28</v>
      </c>
      <c r="N1" s="2" t="s">
        <v>29</v>
      </c>
      <c r="O1" s="3" t="s">
        <v>30</v>
      </c>
      <c r="P1" s="15" t="s">
        <v>31</v>
      </c>
      <c r="Q1" s="11" t="s">
        <v>32</v>
      </c>
      <c r="R1" s="11" t="s">
        <v>33</v>
      </c>
      <c r="S1" s="16" t="s">
        <v>34</v>
      </c>
      <c r="T1" s="21" t="s">
        <v>35</v>
      </c>
      <c r="U1" t="s">
        <v>36</v>
      </c>
      <c r="V1" t="s">
        <v>37</v>
      </c>
      <c r="W1" t="s">
        <v>38</v>
      </c>
      <c r="X1" s="20" t="s">
        <v>22</v>
      </c>
      <c r="Y1" s="26" t="s">
        <v>19</v>
      </c>
      <c r="Z1" s="27" t="s">
        <v>20</v>
      </c>
      <c r="AA1" s="20" t="s">
        <v>21</v>
      </c>
    </row>
    <row r="2" spans="1:27" x14ac:dyDescent="0.2">
      <c r="A2" s="4" t="s">
        <v>1</v>
      </c>
      <c r="B2" s="5">
        <v>0.41666666666666669</v>
      </c>
      <c r="C2" s="35">
        <v>186</v>
      </c>
      <c r="D2" s="35">
        <v>11</v>
      </c>
      <c r="E2" s="35">
        <v>186.45833300000001</v>
      </c>
      <c r="F2" s="37">
        <v>44747</v>
      </c>
      <c r="G2" s="37" t="str">
        <f>_xlfn.CONCAT("DOY ", C2, ": ", TEXT(F2,"mm/dd/yy"))</f>
        <v>DOY 186: 07/05/22</v>
      </c>
      <c r="H2" s="6">
        <f>'[1]GFS-Quad-Ending'!$AL71</f>
        <v>357.73817371239033</v>
      </c>
      <c r="I2" s="7">
        <f>'[2]Starch Data Template'!$P54</f>
        <v>56.92460968948081</v>
      </c>
      <c r="J2" s="6">
        <f>'[3]GFS-Quad-Ending (2)'!$AK71</f>
        <v>465.21117651276387</v>
      </c>
      <c r="K2" s="7">
        <v>563.54435978028823</v>
      </c>
      <c r="L2" s="6">
        <v>976.94993422861216</v>
      </c>
      <c r="M2" s="7">
        <v>178.857950043627</v>
      </c>
      <c r="N2" s="6">
        <v>326.11206035295214</v>
      </c>
      <c r="O2" s="7">
        <v>32.299999999999997</v>
      </c>
      <c r="P2" s="11">
        <f>H2+I2</f>
        <v>414.66278340187114</v>
      </c>
      <c r="Q2" s="11">
        <f t="shared" ref="Q2:Q18" si="0">J2+K2</f>
        <v>1028.755536293052</v>
      </c>
      <c r="R2" s="11">
        <f t="shared" ref="R2:R18" si="1">L2+M2</f>
        <v>1155.8078842722391</v>
      </c>
      <c r="S2" s="11">
        <f>N2+O2</f>
        <v>358.41206035295215</v>
      </c>
      <c r="T2" s="10">
        <v>1</v>
      </c>
      <c r="U2" s="10">
        <v>1</v>
      </c>
      <c r="V2" s="10">
        <v>0</v>
      </c>
      <c r="W2" s="10">
        <v>1</v>
      </c>
      <c r="X2" s="10">
        <f>SUM(T2:W2)</f>
        <v>3</v>
      </c>
      <c r="Y2" s="12">
        <f>(P2*T2+Q2*U2+R2*V2+S2*W2)/X2</f>
        <v>600.61012668262504</v>
      </c>
      <c r="Z2" s="13">
        <f>SQRT((((P2-Y2)^2)*T2+((Q2-Y2)^2)*U2+((R2-Y2)^2)*V2+((S2-Y2)^2)*W2)/X2)</f>
        <v>303.61423417306128</v>
      </c>
      <c r="AA2" s="14">
        <f>Z2/Y2</f>
        <v>0.50550968204619928</v>
      </c>
    </row>
    <row r="3" spans="1:27" x14ac:dyDescent="0.2">
      <c r="A3" s="4" t="s">
        <v>2</v>
      </c>
      <c r="B3" s="5">
        <v>0.54166666666666663</v>
      </c>
      <c r="C3" s="35">
        <v>186</v>
      </c>
      <c r="D3" s="35">
        <v>14</v>
      </c>
      <c r="E3" s="35">
        <v>186.58333300000001</v>
      </c>
      <c r="F3" s="37">
        <v>44747</v>
      </c>
      <c r="G3" s="37" t="str">
        <f t="shared" ref="G3:G18" si="2">_xlfn.CONCAT("DOY ", C3, ": ", TEXT(F3,"mm/dd/yy"))</f>
        <v>DOY 186: 07/05/22</v>
      </c>
      <c r="H3" s="6">
        <f>'[1]GFS-Quad-Ending'!$AL72</f>
        <v>451.98153105926428</v>
      </c>
      <c r="I3" s="7">
        <f>'[2]Starch Data Template'!$P55</f>
        <v>185.2936715334319</v>
      </c>
      <c r="J3" s="6">
        <f>'[3]GFS-Quad-Ending (2)'!$AK72</f>
        <v>170.17176340344352</v>
      </c>
      <c r="K3" s="7">
        <v>225.39552895541152</v>
      </c>
      <c r="L3" s="6">
        <v>285.19231815766267</v>
      </c>
      <c r="M3" s="7">
        <v>107.99015932394441</v>
      </c>
      <c r="N3" s="6">
        <v>235.45994176520998</v>
      </c>
      <c r="O3" s="7">
        <v>77.2</v>
      </c>
      <c r="P3" s="11">
        <f t="shared" ref="P2:P18" si="3">H3+I3</f>
        <v>637.27520259269613</v>
      </c>
      <c r="Q3" s="11">
        <f t="shared" si="0"/>
        <v>395.56729235885507</v>
      </c>
      <c r="R3" s="11">
        <f t="shared" si="1"/>
        <v>393.18247748160707</v>
      </c>
      <c r="S3" s="11">
        <f t="shared" ref="S3:S18" si="4">N3+O3</f>
        <v>312.65994176520996</v>
      </c>
      <c r="T3" s="10">
        <v>1</v>
      </c>
      <c r="U3" s="10">
        <v>0</v>
      </c>
      <c r="V3" s="10">
        <v>0</v>
      </c>
      <c r="W3" s="10">
        <v>1</v>
      </c>
      <c r="X3" s="10">
        <f t="shared" ref="X3:X18" si="5">SUM(T3:W3)</f>
        <v>2</v>
      </c>
      <c r="Y3" s="12">
        <f t="shared" ref="Y3:Y18" si="6">(P3*T3+Q3*U3+R3*V3+S3*W3)/X3</f>
        <v>474.96757217895305</v>
      </c>
      <c r="Z3" s="13">
        <f t="shared" ref="Z3:Z18" si="7">SQRT((((P3-Y3)^2)*T3+((Q3-Y3)^2)*U3+((R3-Y3)^2)*V3+((S3-Y3)^2)*W3)/X3)</f>
        <v>162.30763041374308</v>
      </c>
      <c r="AA3" s="14">
        <f t="shared" ref="AA3:AA18" si="8">Z3/Y3</f>
        <v>0.34172360371707777</v>
      </c>
    </row>
    <row r="4" spans="1:27" x14ac:dyDescent="0.2">
      <c r="A4" s="4" t="s">
        <v>3</v>
      </c>
      <c r="B4" s="5">
        <v>0.66666666666666663</v>
      </c>
      <c r="C4" s="35">
        <v>186</v>
      </c>
      <c r="D4" s="35">
        <v>17</v>
      </c>
      <c r="E4" s="35">
        <v>186.70833300000001</v>
      </c>
      <c r="F4" s="37">
        <v>44747</v>
      </c>
      <c r="G4" s="37" t="str">
        <f t="shared" si="2"/>
        <v>DOY 186: 07/05/22</v>
      </c>
      <c r="H4" s="6">
        <f>'[1]GFS-Quad-Ending'!$AL73</f>
        <v>318.4117385185852</v>
      </c>
      <c r="I4" s="7">
        <f>'[2]Starch Data Template'!$P56</f>
        <v>40.41494877630074</v>
      </c>
      <c r="J4" s="6">
        <f>'[3]GFS-Quad-Ending (2)'!$AK73</f>
        <v>340.29642713813917</v>
      </c>
      <c r="K4" s="7">
        <v>181.53880688533104</v>
      </c>
      <c r="L4" s="6">
        <v>149.69463314456357</v>
      </c>
      <c r="M4" s="7">
        <v>479.0584041910638</v>
      </c>
      <c r="N4" s="6">
        <v>162.22474309581847</v>
      </c>
      <c r="O4" s="7">
        <v>177.5</v>
      </c>
      <c r="P4" s="11">
        <f t="shared" si="3"/>
        <v>358.82668729488591</v>
      </c>
      <c r="Q4" s="11">
        <f t="shared" si="0"/>
        <v>521.83523402347021</v>
      </c>
      <c r="R4" s="11">
        <f t="shared" si="1"/>
        <v>628.75303733562737</v>
      </c>
      <c r="S4" s="11">
        <f t="shared" si="4"/>
        <v>339.72474309581844</v>
      </c>
      <c r="T4" s="10">
        <v>1</v>
      </c>
      <c r="U4" s="10">
        <v>1</v>
      </c>
      <c r="V4" s="10">
        <v>0</v>
      </c>
      <c r="W4" s="10">
        <v>1</v>
      </c>
      <c r="X4" s="10">
        <f t="shared" si="5"/>
        <v>3</v>
      </c>
      <c r="Y4" s="12">
        <f t="shared" si="6"/>
        <v>406.79555480472482</v>
      </c>
      <c r="Z4" s="13">
        <f t="shared" si="7"/>
        <v>81.718284017348068</v>
      </c>
      <c r="AA4" s="14">
        <f t="shared" si="8"/>
        <v>0.2008829325988469</v>
      </c>
    </row>
    <row r="5" spans="1:27" x14ac:dyDescent="0.2">
      <c r="A5" s="4" t="s">
        <v>4</v>
      </c>
      <c r="B5" s="5">
        <v>0.79166666666666663</v>
      </c>
      <c r="C5" s="35">
        <v>186</v>
      </c>
      <c r="D5" s="35">
        <v>20</v>
      </c>
      <c r="E5" s="35">
        <v>186.83333300000001</v>
      </c>
      <c r="F5" s="37">
        <v>44747</v>
      </c>
      <c r="G5" s="37" t="str">
        <f t="shared" si="2"/>
        <v>DOY 186: 07/05/22</v>
      </c>
      <c r="H5" s="6">
        <f>'[1]GFS-Quad-Ending'!$AL74</f>
        <v>230.6394891915813</v>
      </c>
      <c r="I5" s="7">
        <f>'[2]Starch Data Template'!$P57</f>
        <v>213.27914004026843</v>
      </c>
      <c r="J5" s="6">
        <f>'[3]GFS-Quad-Ending (2)'!$AK74</f>
        <v>233.24838429981111</v>
      </c>
      <c r="K5" s="7">
        <v>130.06339542938841</v>
      </c>
      <c r="L5" s="6">
        <v>478.21921260666431</v>
      </c>
      <c r="M5" s="7">
        <v>411.37328510034212</v>
      </c>
      <c r="N5" s="6">
        <v>188.97153522948193</v>
      </c>
      <c r="O5" s="7">
        <v>46.8</v>
      </c>
      <c r="P5" s="11">
        <f t="shared" si="3"/>
        <v>443.91862923184976</v>
      </c>
      <c r="Q5" s="11">
        <f t="shared" si="0"/>
        <v>363.31177972919954</v>
      </c>
      <c r="R5" s="11">
        <f t="shared" si="1"/>
        <v>889.59249770700649</v>
      </c>
      <c r="S5" s="11">
        <f t="shared" si="4"/>
        <v>235.77153522948191</v>
      </c>
      <c r="T5" s="10">
        <v>1</v>
      </c>
      <c r="U5" s="10">
        <v>1</v>
      </c>
      <c r="V5" s="10">
        <v>0</v>
      </c>
      <c r="W5" s="10">
        <v>1</v>
      </c>
      <c r="X5" s="10">
        <f t="shared" si="5"/>
        <v>3</v>
      </c>
      <c r="Y5" s="12">
        <f t="shared" si="6"/>
        <v>347.66731473017711</v>
      </c>
      <c r="Z5" s="13">
        <f t="shared" si="7"/>
        <v>85.692726837372732</v>
      </c>
      <c r="AA5" s="14">
        <f t="shared" si="8"/>
        <v>0.24647910000938233</v>
      </c>
    </row>
    <row r="6" spans="1:27" x14ac:dyDescent="0.2">
      <c r="A6" s="4" t="s">
        <v>5</v>
      </c>
      <c r="B6" s="5">
        <v>0.91666666666666663</v>
      </c>
      <c r="C6" s="35">
        <v>186</v>
      </c>
      <c r="D6" s="35">
        <v>23</v>
      </c>
      <c r="E6" s="35">
        <v>186.95833300000001</v>
      </c>
      <c r="F6" s="37">
        <v>44747</v>
      </c>
      <c r="G6" s="37" t="str">
        <f t="shared" si="2"/>
        <v>DOY 186: 07/05/22</v>
      </c>
      <c r="H6" s="6">
        <f>'[1]GFS-Quad-Ending'!$AL75</f>
        <v>286.21365916523314</v>
      </c>
      <c r="I6" s="7">
        <f>'[2]Starch Data Template'!$P58</f>
        <v>267.43122054523008</v>
      </c>
      <c r="J6" s="6">
        <f>'[3]GFS-Quad-Ending (2)'!$AK75</f>
        <v>237.98235002929687</v>
      </c>
      <c r="K6" s="7">
        <v>245.55750537642007</v>
      </c>
      <c r="L6" s="6">
        <v>74.397392985996177</v>
      </c>
      <c r="M6" s="7">
        <v>381.81895741570213</v>
      </c>
      <c r="N6" s="6">
        <v>93.77983851090336</v>
      </c>
      <c r="O6" s="7">
        <v>419.7</v>
      </c>
      <c r="P6" s="11">
        <f t="shared" si="3"/>
        <v>553.64487971046321</v>
      </c>
      <c r="Q6" s="11">
        <f t="shared" si="0"/>
        <v>483.53985540571693</v>
      </c>
      <c r="R6" s="11">
        <f t="shared" si="1"/>
        <v>456.21635040169832</v>
      </c>
      <c r="S6" s="11">
        <f t="shared" si="4"/>
        <v>513.47983851090339</v>
      </c>
      <c r="T6" s="10">
        <v>1</v>
      </c>
      <c r="U6" s="10">
        <v>1</v>
      </c>
      <c r="V6" s="10">
        <v>1</v>
      </c>
      <c r="W6" s="10">
        <v>1</v>
      </c>
      <c r="X6" s="10">
        <f t="shared" si="5"/>
        <v>4</v>
      </c>
      <c r="Y6" s="12">
        <f t="shared" si="6"/>
        <v>501.72023100719542</v>
      </c>
      <c r="Z6" s="13">
        <f t="shared" si="7"/>
        <v>36.178677141270676</v>
      </c>
      <c r="AA6" s="14">
        <f t="shared" si="8"/>
        <v>7.2109265095096034E-2</v>
      </c>
    </row>
    <row r="7" spans="1:27" x14ac:dyDescent="0.2">
      <c r="A7" s="4" t="s">
        <v>6</v>
      </c>
      <c r="B7" s="5">
        <v>4.1666666666666664E-2</v>
      </c>
      <c r="C7" s="35">
        <v>187</v>
      </c>
      <c r="D7" s="35">
        <v>2</v>
      </c>
      <c r="E7" s="35">
        <v>187.08333300000001</v>
      </c>
      <c r="F7" s="37">
        <v>44748</v>
      </c>
      <c r="G7" s="37" t="str">
        <f t="shared" si="2"/>
        <v>DOY 187: 07/06/22</v>
      </c>
      <c r="H7" s="6">
        <f>'[1]GFS-Quad-Ending'!$AL76</f>
        <v>202.30840866209519</v>
      </c>
      <c r="I7" s="7">
        <f>'[2]Starch Data Template'!$P59</f>
        <v>131.24365010383582</v>
      </c>
      <c r="J7" s="6">
        <f>'[3]GFS-Quad-Ending (2)'!$AK76</f>
        <v>317.95879431137979</v>
      </c>
      <c r="K7" s="7">
        <v>181.11532483349851</v>
      </c>
      <c r="L7" s="6">
        <v>140.61387925403307</v>
      </c>
      <c r="M7" s="7">
        <v>707.05963945027429</v>
      </c>
      <c r="N7" s="6">
        <v>307.7979172114409</v>
      </c>
      <c r="O7" s="7">
        <v>559.79999999999995</v>
      </c>
      <c r="P7" s="11">
        <f t="shared" si="3"/>
        <v>333.55205876593101</v>
      </c>
      <c r="Q7" s="11">
        <f t="shared" si="0"/>
        <v>499.0741191448783</v>
      </c>
      <c r="R7" s="11">
        <f t="shared" si="1"/>
        <v>847.6735187043073</v>
      </c>
      <c r="S7" s="11">
        <f t="shared" si="4"/>
        <v>867.59791721144086</v>
      </c>
      <c r="T7" s="10">
        <v>1</v>
      </c>
      <c r="U7" s="10">
        <v>1</v>
      </c>
      <c r="V7" s="10">
        <v>0</v>
      </c>
      <c r="W7" s="10">
        <v>1</v>
      </c>
      <c r="X7" s="10">
        <f t="shared" si="5"/>
        <v>3</v>
      </c>
      <c r="Y7" s="12">
        <f t="shared" si="6"/>
        <v>566.74136504075011</v>
      </c>
      <c r="Z7" s="13">
        <f t="shared" si="7"/>
        <v>223.21198721700961</v>
      </c>
      <c r="AA7" s="14">
        <f t="shared" si="8"/>
        <v>0.39385158907707418</v>
      </c>
    </row>
    <row r="8" spans="1:27" x14ac:dyDescent="0.2">
      <c r="A8" s="4" t="s">
        <v>7</v>
      </c>
      <c r="B8" s="5">
        <v>0.16666666666666666</v>
      </c>
      <c r="C8" s="35">
        <v>187</v>
      </c>
      <c r="D8" s="35">
        <v>5</v>
      </c>
      <c r="E8" s="35">
        <v>187.20833300000001</v>
      </c>
      <c r="F8" s="37">
        <v>44748</v>
      </c>
      <c r="G8" s="37" t="str">
        <f t="shared" si="2"/>
        <v>DOY 187: 07/06/22</v>
      </c>
      <c r="H8" s="6">
        <f>'[1]GFS-Quad-Ending'!$AL77</f>
        <v>267.71075832927647</v>
      </c>
      <c r="I8" s="7">
        <f>'[2]Starch Data Template'!$P60</f>
        <v>21.188792508147095</v>
      </c>
      <c r="J8" s="6">
        <f>'[3]GFS-Quad-Ending (2)'!$AK77</f>
        <v>493.70680903300189</v>
      </c>
      <c r="K8" s="7">
        <v>135.14098936362674</v>
      </c>
      <c r="L8" s="6">
        <v>182.99711425917397</v>
      </c>
      <c r="M8" s="7">
        <v>257.04051092914</v>
      </c>
      <c r="N8" s="6">
        <v>133.09477438779413</v>
      </c>
      <c r="O8" s="7">
        <v>9.8000000000000007</v>
      </c>
      <c r="P8" s="11">
        <f t="shared" si="3"/>
        <v>288.89955083742359</v>
      </c>
      <c r="Q8" s="11">
        <f t="shared" si="0"/>
        <v>628.8477983966286</v>
      </c>
      <c r="R8" s="11">
        <f t="shared" si="1"/>
        <v>440.037625188314</v>
      </c>
      <c r="S8" s="11">
        <f t="shared" si="4"/>
        <v>142.89477438779414</v>
      </c>
      <c r="T8" s="10">
        <v>1</v>
      </c>
      <c r="U8" s="10">
        <v>1</v>
      </c>
      <c r="V8" s="10">
        <v>0</v>
      </c>
      <c r="W8" s="10">
        <v>1</v>
      </c>
      <c r="X8" s="10">
        <f t="shared" si="5"/>
        <v>3</v>
      </c>
      <c r="Y8" s="12">
        <f t="shared" si="6"/>
        <v>353.54737454061546</v>
      </c>
      <c r="Z8" s="13">
        <f t="shared" si="7"/>
        <v>203.58796823977909</v>
      </c>
      <c r="AA8" s="14">
        <f t="shared" si="8"/>
        <v>0.57584353017558876</v>
      </c>
    </row>
    <row r="9" spans="1:27" x14ac:dyDescent="0.2">
      <c r="A9" s="4" t="s">
        <v>8</v>
      </c>
      <c r="B9" s="5">
        <v>0.29166666666666669</v>
      </c>
      <c r="C9" s="35">
        <v>187</v>
      </c>
      <c r="D9" s="35">
        <v>8</v>
      </c>
      <c r="E9" s="35">
        <v>187.33333300000001</v>
      </c>
      <c r="F9" s="37">
        <v>44748</v>
      </c>
      <c r="G9" s="37" t="str">
        <f t="shared" si="2"/>
        <v>DOY 187: 07/06/22</v>
      </c>
      <c r="H9" s="6">
        <f>'[1]GFS-Quad-Ending'!$AL78</f>
        <v>88.571268184648915</v>
      </c>
      <c r="I9" s="7">
        <f>'[2]Starch Data Template'!$P61</f>
        <v>10.263392850610167</v>
      </c>
      <c r="J9" s="6">
        <f>'[3]GFS-Quad-Ending (2)'!$AK78</f>
        <v>203.11059768711317</v>
      </c>
      <c r="K9" s="7">
        <v>85.673430782742528</v>
      </c>
      <c r="L9" s="6">
        <v>66.644080608858303</v>
      </c>
      <c r="M9" s="7">
        <v>68.983255052484353</v>
      </c>
      <c r="N9" s="6">
        <v>111.15234149310238</v>
      </c>
      <c r="O9" s="7">
        <v>43.9</v>
      </c>
      <c r="P9" s="11">
        <f t="shared" si="3"/>
        <v>98.834661035259074</v>
      </c>
      <c r="Q9" s="11">
        <f t="shared" si="0"/>
        <v>288.78402846985568</v>
      </c>
      <c r="R9" s="11">
        <f t="shared" si="1"/>
        <v>135.62733566134267</v>
      </c>
      <c r="S9" s="11">
        <f t="shared" si="4"/>
        <v>155.05234149310238</v>
      </c>
      <c r="T9" s="10">
        <v>1</v>
      </c>
      <c r="U9" s="10">
        <v>1</v>
      </c>
      <c r="V9" s="10">
        <v>1</v>
      </c>
      <c r="W9" s="10">
        <v>1</v>
      </c>
      <c r="X9" s="10">
        <f t="shared" si="5"/>
        <v>4</v>
      </c>
      <c r="Y9" s="12">
        <f t="shared" si="6"/>
        <v>169.57459166488997</v>
      </c>
      <c r="Z9" s="13">
        <f t="shared" si="7"/>
        <v>71.725761670867726</v>
      </c>
      <c r="AA9" s="14">
        <f t="shared" si="8"/>
        <v>0.42297469784040992</v>
      </c>
    </row>
    <row r="10" spans="1:27" x14ac:dyDescent="0.2">
      <c r="A10" s="4" t="s">
        <v>9</v>
      </c>
      <c r="B10" s="5">
        <v>0.29166666666666669</v>
      </c>
      <c r="C10" s="35">
        <v>209</v>
      </c>
      <c r="D10" s="35">
        <v>8</v>
      </c>
      <c r="E10" s="35">
        <v>209.33333300000001</v>
      </c>
      <c r="F10" s="37">
        <v>44770</v>
      </c>
      <c r="G10" s="37" t="str">
        <f t="shared" si="2"/>
        <v>DOY 209: 07/28/22</v>
      </c>
      <c r="H10" s="6">
        <f>'[1]GFS-Quad-Ending'!$AL79</f>
        <v>563.50735539320715</v>
      </c>
      <c r="I10" s="7">
        <f>'[2]Starch Data Template'!$P62</f>
        <v>28.643477715767389</v>
      </c>
      <c r="J10" s="6">
        <f>'[3]GFS-Quad-Ending (2)'!$AK79</f>
        <v>884.0855677542321</v>
      </c>
      <c r="K10" s="7">
        <v>97.57644364120371</v>
      </c>
      <c r="L10" s="6">
        <v>1299.7745748840698</v>
      </c>
      <c r="M10" s="7">
        <v>71.582420563646139</v>
      </c>
      <c r="N10" s="6">
        <v>348.72398183274794</v>
      </c>
      <c r="O10" s="7">
        <v>2.2000000000000002</v>
      </c>
      <c r="P10" s="11">
        <f t="shared" si="3"/>
        <v>592.15083310897455</v>
      </c>
      <c r="Q10" s="11">
        <f t="shared" si="0"/>
        <v>981.6620113954358</v>
      </c>
      <c r="R10" s="11">
        <f t="shared" si="1"/>
        <v>1371.3569954477159</v>
      </c>
      <c r="S10" s="11">
        <f t="shared" si="4"/>
        <v>350.92398183274793</v>
      </c>
      <c r="T10" s="10">
        <v>1</v>
      </c>
      <c r="U10" s="10">
        <v>1</v>
      </c>
      <c r="V10" s="10">
        <v>1</v>
      </c>
      <c r="W10" s="10">
        <v>1</v>
      </c>
      <c r="X10" s="10">
        <f t="shared" si="5"/>
        <v>4</v>
      </c>
      <c r="Y10" s="12">
        <f t="shared" si="6"/>
        <v>824.02345544621858</v>
      </c>
      <c r="Z10" s="13">
        <f t="shared" si="7"/>
        <v>387.94714306694488</v>
      </c>
      <c r="AA10" s="14">
        <f t="shared" si="8"/>
        <v>0.47079623826589601</v>
      </c>
    </row>
    <row r="11" spans="1:27" x14ac:dyDescent="0.2">
      <c r="A11" s="4" t="s">
        <v>10</v>
      </c>
      <c r="B11" s="5">
        <v>0.54166666666666663</v>
      </c>
      <c r="C11" s="35">
        <v>209</v>
      </c>
      <c r="D11" s="35">
        <v>13</v>
      </c>
      <c r="E11" s="35">
        <v>209.54166699999999</v>
      </c>
      <c r="F11" s="37">
        <v>44770</v>
      </c>
      <c r="G11" s="37" t="str">
        <f t="shared" si="2"/>
        <v>DOY 209: 07/28/22</v>
      </c>
      <c r="H11" s="6">
        <f>'[1]GFS-Quad-Ending'!$AL80</f>
        <v>843.6065588733702</v>
      </c>
      <c r="I11" s="7">
        <f>'[2]Starch Data Template'!$P63</f>
        <v>116.81975866661671</v>
      </c>
      <c r="J11" s="6">
        <f>'[3]GFS-Quad-Ending (2)'!$AK80</f>
        <v>829.22196047482032</v>
      </c>
      <c r="K11" s="7">
        <v>47.650355173557408</v>
      </c>
      <c r="L11" s="6">
        <v>557.50099783480164</v>
      </c>
      <c r="M11" s="7">
        <v>85.584523836450131</v>
      </c>
      <c r="N11" s="6">
        <v>382.22060368302357</v>
      </c>
      <c r="O11" s="7">
        <v>59.3</v>
      </c>
      <c r="P11" s="11">
        <f t="shared" si="3"/>
        <v>960.42631753998694</v>
      </c>
      <c r="Q11" s="11">
        <f t="shared" si="0"/>
        <v>876.87231564837771</v>
      </c>
      <c r="R11" s="11">
        <f t="shared" si="1"/>
        <v>643.08552167125174</v>
      </c>
      <c r="S11" s="11">
        <f t="shared" si="4"/>
        <v>441.52060368302358</v>
      </c>
      <c r="T11" s="10">
        <v>1</v>
      </c>
      <c r="U11" s="10">
        <v>1</v>
      </c>
      <c r="V11" s="10">
        <v>1</v>
      </c>
      <c r="W11" s="10">
        <v>1</v>
      </c>
      <c r="X11" s="10">
        <f t="shared" si="5"/>
        <v>4</v>
      </c>
      <c r="Y11" s="12">
        <f t="shared" si="6"/>
        <v>730.47618963566003</v>
      </c>
      <c r="Z11" s="13">
        <f t="shared" si="7"/>
        <v>203.37240873287405</v>
      </c>
      <c r="AA11" s="14">
        <f t="shared" si="8"/>
        <v>0.27841072935492972</v>
      </c>
    </row>
    <row r="12" spans="1:27" x14ac:dyDescent="0.2">
      <c r="A12" s="4" t="s">
        <v>11</v>
      </c>
      <c r="B12" s="5">
        <v>0.29166666666666669</v>
      </c>
      <c r="C12" s="35">
        <v>236</v>
      </c>
      <c r="D12" s="35">
        <v>8</v>
      </c>
      <c r="E12" s="35">
        <v>236.33333300000001</v>
      </c>
      <c r="F12" s="37">
        <v>44797</v>
      </c>
      <c r="G12" s="37" t="str">
        <f t="shared" si="2"/>
        <v>DOY 236: 08/24/22</v>
      </c>
      <c r="H12" s="6">
        <f>'[1]GFS-Quad-Ending'!$AL81</f>
        <v>284.90499166962036</v>
      </c>
      <c r="I12" s="7">
        <f>'[2]Starch Data Template'!$P64</f>
        <v>104.29614874178957</v>
      </c>
      <c r="J12" s="6">
        <f>'[3]GFS-Quad-Ending (2)'!$AK81</f>
        <v>231.22933122557191</v>
      </c>
      <c r="K12" s="7">
        <v>84.009812876446404</v>
      </c>
      <c r="L12" s="6">
        <v>400.82936429772803</v>
      </c>
      <c r="M12" s="7">
        <v>146.02265239800772</v>
      </c>
      <c r="N12" s="6">
        <v>158.1906013260901</v>
      </c>
      <c r="O12" s="7">
        <v>132.5</v>
      </c>
      <c r="P12" s="11">
        <f t="shared" si="3"/>
        <v>389.20114041140994</v>
      </c>
      <c r="Q12" s="11">
        <f t="shared" si="0"/>
        <v>315.23914410201832</v>
      </c>
      <c r="R12" s="11">
        <f t="shared" si="1"/>
        <v>546.85201669573576</v>
      </c>
      <c r="S12" s="11">
        <f t="shared" si="4"/>
        <v>290.69060132609013</v>
      </c>
      <c r="T12" s="10">
        <v>1</v>
      </c>
      <c r="U12" s="10">
        <v>1</v>
      </c>
      <c r="V12" s="10">
        <v>0</v>
      </c>
      <c r="W12" s="10">
        <v>1</v>
      </c>
      <c r="X12" s="10">
        <f t="shared" si="5"/>
        <v>3</v>
      </c>
      <c r="Y12" s="12">
        <f t="shared" si="6"/>
        <v>331.71029527983944</v>
      </c>
      <c r="Z12" s="13">
        <f t="shared" si="7"/>
        <v>41.869286225601854</v>
      </c>
      <c r="AA12" s="14">
        <f t="shared" si="8"/>
        <v>0.12622245019642769</v>
      </c>
    </row>
    <row r="13" spans="1:27" x14ac:dyDescent="0.2">
      <c r="A13" s="4" t="s">
        <v>12</v>
      </c>
      <c r="B13" s="5">
        <v>0.54166666666666663</v>
      </c>
      <c r="C13" s="35">
        <v>236</v>
      </c>
      <c r="D13" s="35">
        <v>13</v>
      </c>
      <c r="E13" s="35">
        <v>236.54166699999999</v>
      </c>
      <c r="F13" s="37">
        <v>44797</v>
      </c>
      <c r="G13" s="37" t="str">
        <f t="shared" si="2"/>
        <v>DOY 236: 08/24/22</v>
      </c>
      <c r="H13" s="6">
        <f>'[1]GFS-Quad-Ending'!$AL82</f>
        <v>304.80534510512013</v>
      </c>
      <c r="I13" s="7">
        <f>'[2]Starch Data Template'!$P65</f>
        <v>62.549959164553528</v>
      </c>
      <c r="J13" s="6">
        <f>'[3]GFS-Quad-Ending (2)'!$AK82</f>
        <v>278.64077258566851</v>
      </c>
      <c r="K13" s="7">
        <v>113.21935331734957</v>
      </c>
      <c r="L13" s="6">
        <v>283.06422673325841</v>
      </c>
      <c r="M13" s="7">
        <v>234.37925623040417</v>
      </c>
      <c r="N13" s="6">
        <v>181.9342995209316</v>
      </c>
      <c r="O13" s="7">
        <v>186.3</v>
      </c>
      <c r="P13" s="11">
        <f t="shared" si="3"/>
        <v>367.35530426967364</v>
      </c>
      <c r="Q13" s="11">
        <f t="shared" si="0"/>
        <v>391.86012590301812</v>
      </c>
      <c r="R13" s="11">
        <f t="shared" si="1"/>
        <v>517.44348296366252</v>
      </c>
      <c r="S13" s="11">
        <f t="shared" si="4"/>
        <v>368.23429952093159</v>
      </c>
      <c r="T13" s="10">
        <v>1</v>
      </c>
      <c r="U13" s="10">
        <v>1</v>
      </c>
      <c r="V13" s="10">
        <v>0</v>
      </c>
      <c r="W13" s="10">
        <v>1</v>
      </c>
      <c r="X13" s="10">
        <f t="shared" si="5"/>
        <v>3</v>
      </c>
      <c r="Y13" s="12">
        <f t="shared" si="6"/>
        <v>375.81657656454109</v>
      </c>
      <c r="Z13" s="13">
        <f t="shared" si="7"/>
        <v>11.350176641651673</v>
      </c>
      <c r="AA13" s="14">
        <f t="shared" si="8"/>
        <v>3.0201373088455143E-2</v>
      </c>
    </row>
    <row r="14" spans="1:27" x14ac:dyDescent="0.2">
      <c r="A14" s="4" t="s">
        <v>13</v>
      </c>
      <c r="B14" s="5">
        <v>0.79166666666666663</v>
      </c>
      <c r="C14" s="35">
        <v>236</v>
      </c>
      <c r="D14" s="35">
        <v>20</v>
      </c>
      <c r="E14" s="35">
        <v>236.83333300000001</v>
      </c>
      <c r="F14" s="37">
        <v>44797</v>
      </c>
      <c r="G14" s="37" t="str">
        <f t="shared" si="2"/>
        <v>DOY 236: 08/24/22</v>
      </c>
      <c r="H14" s="6">
        <f>'[1]GFS-Quad-Ending'!$AL83</f>
        <v>139.78364360646955</v>
      </c>
      <c r="I14" s="7">
        <f>'[2]Starch Data Template'!$P66</f>
        <v>334.1909380485165</v>
      </c>
      <c r="J14" s="6">
        <f>'[3]GFS-Quad-Ending (2)'!$AK83</f>
        <v>284.39322165427473</v>
      </c>
      <c r="K14" s="7">
        <v>128.18771926691431</v>
      </c>
      <c r="L14" s="6">
        <v>330.09565760332134</v>
      </c>
      <c r="M14" s="7">
        <v>191.36733147836568</v>
      </c>
      <c r="N14" s="6">
        <v>108.46625556467765</v>
      </c>
      <c r="O14" s="7">
        <v>113.8</v>
      </c>
      <c r="P14" s="11">
        <f t="shared" si="3"/>
        <v>473.97458165498608</v>
      </c>
      <c r="Q14" s="11">
        <f t="shared" si="0"/>
        <v>412.58094092118904</v>
      </c>
      <c r="R14" s="11">
        <f t="shared" si="1"/>
        <v>521.46298908168706</v>
      </c>
      <c r="S14" s="11">
        <f t="shared" si="4"/>
        <v>222.26625556467764</v>
      </c>
      <c r="T14" s="10">
        <v>1</v>
      </c>
      <c r="U14" s="10">
        <v>1</v>
      </c>
      <c r="V14" s="10">
        <v>0</v>
      </c>
      <c r="W14" s="10">
        <v>1</v>
      </c>
      <c r="X14" s="10">
        <f t="shared" si="5"/>
        <v>3</v>
      </c>
      <c r="Y14" s="12">
        <f t="shared" si="6"/>
        <v>369.60725938028423</v>
      </c>
      <c r="Z14" s="13">
        <f t="shared" si="7"/>
        <v>107.15821117917372</v>
      </c>
      <c r="AA14" s="14">
        <f t="shared" si="8"/>
        <v>0.28992453059186263</v>
      </c>
    </row>
    <row r="15" spans="1:27" x14ac:dyDescent="0.2">
      <c r="A15" s="4" t="s">
        <v>14</v>
      </c>
      <c r="B15" s="5">
        <v>0.29166666666666669</v>
      </c>
      <c r="C15" s="35">
        <v>258</v>
      </c>
      <c r="D15" s="35">
        <v>8</v>
      </c>
      <c r="E15" s="35">
        <v>258.33333299999998</v>
      </c>
      <c r="F15" s="37">
        <v>44819</v>
      </c>
      <c r="G15" s="37" t="str">
        <f t="shared" si="2"/>
        <v>DOY 258: 09/15/22</v>
      </c>
      <c r="H15" s="6">
        <f>'[1]GFS-Quad-Ending'!$AL84</f>
        <v>390.72249733057782</v>
      </c>
      <c r="I15" s="7">
        <f>'[2]Starch Data Template'!$P67</f>
        <v>-1.5308150136254652</v>
      </c>
      <c r="J15" s="6">
        <f>'[3]GFS-Quad-Ending (2)'!$AK84</f>
        <v>560.02660719257426</v>
      </c>
      <c r="K15" s="7">
        <v>31.82490784677352</v>
      </c>
      <c r="L15" s="6">
        <v>428.28801425740505</v>
      </c>
      <c r="M15" s="7">
        <v>80.042258175530392</v>
      </c>
      <c r="N15" s="6">
        <v>102.68893256586406</v>
      </c>
      <c r="O15" s="7">
        <v>38.6</v>
      </c>
      <c r="P15" s="11">
        <f t="shared" si="3"/>
        <v>389.19168231695238</v>
      </c>
      <c r="Q15" s="11">
        <f t="shared" si="0"/>
        <v>591.85151503934776</v>
      </c>
      <c r="R15" s="11">
        <f t="shared" si="1"/>
        <v>508.33027243293543</v>
      </c>
      <c r="S15" s="11">
        <f t="shared" si="4"/>
        <v>141.28893256586406</v>
      </c>
      <c r="T15" s="10">
        <v>1</v>
      </c>
      <c r="U15" s="10">
        <v>1</v>
      </c>
      <c r="V15" s="10">
        <v>0</v>
      </c>
      <c r="W15" s="10">
        <v>1</v>
      </c>
      <c r="X15" s="10">
        <f t="shared" si="5"/>
        <v>3</v>
      </c>
      <c r="Y15" s="12">
        <f t="shared" si="6"/>
        <v>374.11070997405477</v>
      </c>
      <c r="Z15" s="13">
        <f t="shared" si="7"/>
        <v>184.2502591158723</v>
      </c>
      <c r="AA15" s="14">
        <f t="shared" si="8"/>
        <v>0.49250196319867551</v>
      </c>
    </row>
    <row r="16" spans="1:27" x14ac:dyDescent="0.2">
      <c r="A16" s="4" t="s">
        <v>15</v>
      </c>
      <c r="B16" s="5">
        <v>0.54166666666666663</v>
      </c>
      <c r="C16" s="35">
        <v>258</v>
      </c>
      <c r="D16" s="35">
        <v>13</v>
      </c>
      <c r="E16" s="35">
        <v>258.54166700000002</v>
      </c>
      <c r="F16" s="37">
        <v>44819</v>
      </c>
      <c r="G16" s="37" t="str">
        <f t="shared" si="2"/>
        <v>DOY 258: 09/15/22</v>
      </c>
      <c r="H16" s="6">
        <f>'[1]GFS-Quad-Ending'!$AL85</f>
        <v>310.92474780645216</v>
      </c>
      <c r="I16" s="7">
        <f>'[2]Starch Data Template'!$P68</f>
        <v>-5.6291934515707824</v>
      </c>
      <c r="J16" s="6">
        <f>'[3]GFS-Quad-Ending (2)'!$AK85</f>
        <v>697.33197880763078</v>
      </c>
      <c r="K16" s="7">
        <v>5.3833078184359877</v>
      </c>
      <c r="L16" s="6">
        <v>218.83064847488149</v>
      </c>
      <c r="M16" s="7">
        <v>110.15797838267875</v>
      </c>
      <c r="N16" s="6">
        <v>229.30085467277652</v>
      </c>
      <c r="O16" s="7">
        <v>290.10000000000002</v>
      </c>
      <c r="P16" s="11">
        <f t="shared" si="3"/>
        <v>305.2955543548814</v>
      </c>
      <c r="Q16" s="11">
        <f t="shared" si="0"/>
        <v>702.71528662606681</v>
      </c>
      <c r="R16" s="11">
        <f t="shared" si="1"/>
        <v>328.98862685756023</v>
      </c>
      <c r="S16" s="11">
        <f t="shared" si="4"/>
        <v>519.40085467277652</v>
      </c>
      <c r="T16" s="10">
        <v>0</v>
      </c>
      <c r="U16" s="10">
        <v>1</v>
      </c>
      <c r="V16" s="10">
        <v>0</v>
      </c>
      <c r="W16" s="10">
        <v>1</v>
      </c>
      <c r="X16" s="10">
        <f t="shared" si="5"/>
        <v>2</v>
      </c>
      <c r="Y16" s="12">
        <f t="shared" si="6"/>
        <v>611.05807064942167</v>
      </c>
      <c r="Z16" s="13">
        <f t="shared" si="7"/>
        <v>91.657215976645148</v>
      </c>
      <c r="AA16" s="14">
        <f t="shared" si="8"/>
        <v>0.14999755404463194</v>
      </c>
    </row>
    <row r="17" spans="1:27" x14ac:dyDescent="0.2">
      <c r="A17" s="4" t="s">
        <v>16</v>
      </c>
      <c r="B17" s="5">
        <v>0.79166666666666663</v>
      </c>
      <c r="C17" s="35">
        <v>258</v>
      </c>
      <c r="D17" s="35">
        <v>20</v>
      </c>
      <c r="E17" s="35">
        <v>258.83333299999998</v>
      </c>
      <c r="F17" s="37">
        <v>44819</v>
      </c>
      <c r="G17" s="37" t="str">
        <f t="shared" si="2"/>
        <v>DOY 258: 09/15/22</v>
      </c>
      <c r="H17" s="6">
        <f>'[1]GFS-Quad-Ending'!$AL86</f>
        <v>311.78530890104531</v>
      </c>
      <c r="I17" s="7">
        <f>'[2]Starch Data Template'!$P69</f>
        <v>-1.1089238686873388</v>
      </c>
      <c r="J17" s="6">
        <f>'[3]GFS-Quad-Ending (2)'!$AK86</f>
        <v>492.39845512222291</v>
      </c>
      <c r="K17" s="7">
        <v>23.808861311924876</v>
      </c>
      <c r="L17" s="6">
        <v>633.38123989971655</v>
      </c>
      <c r="M17" s="7">
        <v>59.696642393261875</v>
      </c>
      <c r="N17" s="6">
        <v>322.1535581856071</v>
      </c>
      <c r="O17" s="7">
        <v>74.8</v>
      </c>
      <c r="P17" s="11">
        <f t="shared" si="3"/>
        <v>310.67638503235798</v>
      </c>
      <c r="Q17" s="11">
        <f t="shared" si="0"/>
        <v>516.20731643414774</v>
      </c>
      <c r="R17" s="11">
        <f t="shared" si="1"/>
        <v>693.07788229297842</v>
      </c>
      <c r="S17" s="11">
        <f t="shared" si="4"/>
        <v>396.95355818560711</v>
      </c>
      <c r="T17" s="10">
        <v>0</v>
      </c>
      <c r="U17" s="10">
        <v>1</v>
      </c>
      <c r="V17" s="10">
        <v>0</v>
      </c>
      <c r="W17" s="10">
        <v>1</v>
      </c>
      <c r="X17" s="10">
        <f t="shared" si="5"/>
        <v>2</v>
      </c>
      <c r="Y17" s="12">
        <f t="shared" si="6"/>
        <v>456.58043730987742</v>
      </c>
      <c r="Z17" s="13">
        <f t="shared" si="7"/>
        <v>59.626879124270317</v>
      </c>
      <c r="AA17" s="14">
        <f t="shared" si="8"/>
        <v>0.13059446759389307</v>
      </c>
    </row>
    <row r="18" spans="1:27" ht="17" thickBot="1" x14ac:dyDescent="0.25">
      <c r="A18" s="4" t="s">
        <v>17</v>
      </c>
      <c r="B18" s="5">
        <v>0.5</v>
      </c>
      <c r="C18" s="38">
        <v>278</v>
      </c>
      <c r="D18" s="38">
        <v>12</v>
      </c>
      <c r="E18" s="38">
        <v>278.5</v>
      </c>
      <c r="F18" s="36">
        <v>44839</v>
      </c>
      <c r="G18" s="37" t="str">
        <f t="shared" si="2"/>
        <v>DOY 278: 10/05/22</v>
      </c>
      <c r="H18" s="6">
        <f>'[1]GFS-Quad-Ending'!$AL87</f>
        <v>45.143393429783053</v>
      </c>
      <c r="I18" s="9">
        <f>'[2]Starch Data Template'!$P71</f>
        <v>-4.8437083701565822</v>
      </c>
      <c r="J18" s="6">
        <f>'[3]GFS-Quad-Ending (2)'!$AK87</f>
        <v>-27.031217596952501</v>
      </c>
      <c r="K18" s="9">
        <v>36.897564145831879</v>
      </c>
      <c r="L18" s="8">
        <v>59.057831484798974</v>
      </c>
      <c r="M18" s="9">
        <v>154.90592191522637</v>
      </c>
      <c r="N18" s="8">
        <v>14.56610871</v>
      </c>
      <c r="O18" s="9">
        <v>0</v>
      </c>
      <c r="P18" s="11">
        <f t="shared" si="3"/>
        <v>40.299685059626469</v>
      </c>
      <c r="Q18" s="11">
        <f t="shared" si="0"/>
        <v>9.8663465488793776</v>
      </c>
      <c r="R18" s="11">
        <f t="shared" si="1"/>
        <v>213.96375340002535</v>
      </c>
      <c r="S18" s="11">
        <f t="shared" si="4"/>
        <v>14.56610871</v>
      </c>
      <c r="T18" s="10">
        <v>0</v>
      </c>
      <c r="U18" s="10">
        <v>0</v>
      </c>
      <c r="V18" s="10">
        <v>0</v>
      </c>
      <c r="W18" s="10">
        <v>1</v>
      </c>
      <c r="X18" s="10">
        <f t="shared" si="5"/>
        <v>1</v>
      </c>
      <c r="Y18" s="12">
        <f t="shared" si="6"/>
        <v>14.56610871</v>
      </c>
      <c r="Z18" s="13">
        <f t="shared" si="7"/>
        <v>0</v>
      </c>
      <c r="AA18" s="14">
        <f t="shared" si="8"/>
        <v>0</v>
      </c>
    </row>
    <row r="19" spans="1:27" x14ac:dyDescent="0.2">
      <c r="Y19" s="39"/>
      <c r="Z19" s="40"/>
    </row>
  </sheetData>
  <phoneticPr fontId="3" type="noConversion"/>
  <conditionalFormatting sqref="AA1:AA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Leaf</vt:lpstr>
      <vt:lpstr>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Piao, Ximin</dc:creator>
  <cp:lastModifiedBy>Piao, Ximin</cp:lastModifiedBy>
  <dcterms:created xsi:type="dcterms:W3CDTF">2024-05-19T15:17:11Z</dcterms:created>
  <dcterms:modified xsi:type="dcterms:W3CDTF">2026-02-27T06:42:34Z</dcterms:modified>
</cp:coreProperties>
</file>