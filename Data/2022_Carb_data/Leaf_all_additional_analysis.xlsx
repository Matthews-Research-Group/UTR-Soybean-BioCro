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minpiao/Documents/GitHub/UTR-Soybean-BioCro/Data/2022_Carb_data/"/>
    </mc:Choice>
  </mc:AlternateContent>
  <xr:revisionPtr revIDLastSave="0" documentId="13_ncr:1_{9D4D133D-1AAF-8542-9926-D8171784AF23}" xr6:coauthVersionLast="47" xr6:coauthVersionMax="47" xr10:uidLastSave="{00000000-0000-0000-0000-000000000000}"/>
  <bookViews>
    <workbookView xWindow="10340" yWindow="600" windowWidth="18460" windowHeight="16080" activeTab="1" xr2:uid="{91BF93B6-657D-F94F-A5FA-7F2899DF2E06}"/>
  </bookViews>
  <sheets>
    <sheet name="og" sheetId="1" r:id="rId1"/>
    <sheet name="glucose" sheetId="2" r:id="rId2"/>
    <sheet name="C" sheetId="4" r:id="rId3"/>
    <sheet name="DM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5" i="3" l="1"/>
  <c r="AB12" i="3"/>
  <c r="AB10" i="3"/>
  <c r="AB2" i="3"/>
  <c r="AD18" i="4"/>
  <c r="AH10" i="4" s="1"/>
  <c r="AE2" i="4"/>
  <c r="AC2" i="2"/>
  <c r="H3" i="3"/>
  <c r="I3" i="3"/>
  <c r="J3" i="3"/>
  <c r="K3" i="3"/>
  <c r="L3" i="3"/>
  <c r="M3" i="3"/>
  <c r="N3" i="3"/>
  <c r="O3" i="3"/>
  <c r="P3" i="3"/>
  <c r="Q3" i="3"/>
  <c r="R3" i="3"/>
  <c r="S3" i="3"/>
  <c r="H4" i="3"/>
  <c r="I4" i="3"/>
  <c r="J4" i="3"/>
  <c r="K4" i="3"/>
  <c r="L4" i="3"/>
  <c r="M4" i="3"/>
  <c r="N4" i="3"/>
  <c r="O4" i="3"/>
  <c r="P4" i="3"/>
  <c r="Q4" i="3"/>
  <c r="R4" i="3"/>
  <c r="S4" i="3"/>
  <c r="H5" i="3"/>
  <c r="I5" i="3"/>
  <c r="J5" i="3"/>
  <c r="K5" i="3"/>
  <c r="L5" i="3"/>
  <c r="M5" i="3"/>
  <c r="N5" i="3"/>
  <c r="O5" i="3"/>
  <c r="P5" i="3"/>
  <c r="Q5" i="3"/>
  <c r="R5" i="3"/>
  <c r="S5" i="3"/>
  <c r="H6" i="3"/>
  <c r="I6" i="3"/>
  <c r="J6" i="3"/>
  <c r="K6" i="3"/>
  <c r="L6" i="3"/>
  <c r="M6" i="3"/>
  <c r="N6" i="3"/>
  <c r="O6" i="3"/>
  <c r="P6" i="3"/>
  <c r="Q6" i="3"/>
  <c r="R6" i="3"/>
  <c r="S6" i="3"/>
  <c r="H7" i="3"/>
  <c r="I7" i="3"/>
  <c r="J7" i="3"/>
  <c r="K7" i="3"/>
  <c r="L7" i="3"/>
  <c r="M7" i="3"/>
  <c r="N7" i="3"/>
  <c r="O7" i="3"/>
  <c r="P7" i="3"/>
  <c r="Q7" i="3"/>
  <c r="R7" i="3"/>
  <c r="S7" i="3"/>
  <c r="H8" i="3"/>
  <c r="I8" i="3"/>
  <c r="J8" i="3"/>
  <c r="K8" i="3"/>
  <c r="L8" i="3"/>
  <c r="M8" i="3"/>
  <c r="N8" i="3"/>
  <c r="O8" i="3"/>
  <c r="P8" i="3"/>
  <c r="Q8" i="3"/>
  <c r="R8" i="3"/>
  <c r="S8" i="3"/>
  <c r="H9" i="3"/>
  <c r="I9" i="3"/>
  <c r="J9" i="3"/>
  <c r="K9" i="3"/>
  <c r="L9" i="3"/>
  <c r="M9" i="3"/>
  <c r="N9" i="3"/>
  <c r="O9" i="3"/>
  <c r="P9" i="3"/>
  <c r="Q9" i="3"/>
  <c r="R9" i="3"/>
  <c r="S9" i="3"/>
  <c r="H10" i="3"/>
  <c r="I10" i="3"/>
  <c r="J10" i="3"/>
  <c r="K10" i="3"/>
  <c r="L10" i="3"/>
  <c r="M10" i="3"/>
  <c r="N10" i="3"/>
  <c r="O10" i="3"/>
  <c r="P10" i="3"/>
  <c r="Q10" i="3"/>
  <c r="R10" i="3"/>
  <c r="S10" i="3"/>
  <c r="H11" i="3"/>
  <c r="I11" i="3"/>
  <c r="J11" i="3"/>
  <c r="K11" i="3"/>
  <c r="L11" i="3"/>
  <c r="M11" i="3"/>
  <c r="N11" i="3"/>
  <c r="O11" i="3"/>
  <c r="P11" i="3"/>
  <c r="Q11" i="3"/>
  <c r="R11" i="3"/>
  <c r="S11" i="3"/>
  <c r="H12" i="3"/>
  <c r="I12" i="3"/>
  <c r="J12" i="3"/>
  <c r="K12" i="3"/>
  <c r="L12" i="3"/>
  <c r="M12" i="3"/>
  <c r="N12" i="3"/>
  <c r="O12" i="3"/>
  <c r="P12" i="3"/>
  <c r="Q12" i="3"/>
  <c r="R12" i="3"/>
  <c r="S12" i="3"/>
  <c r="H13" i="3"/>
  <c r="I13" i="3"/>
  <c r="J13" i="3"/>
  <c r="K13" i="3"/>
  <c r="L13" i="3"/>
  <c r="M13" i="3"/>
  <c r="N13" i="3"/>
  <c r="O13" i="3"/>
  <c r="P13" i="3"/>
  <c r="Q13" i="3"/>
  <c r="R13" i="3"/>
  <c r="S13" i="3"/>
  <c r="H14" i="3"/>
  <c r="I14" i="3"/>
  <c r="J14" i="3"/>
  <c r="K14" i="3"/>
  <c r="L14" i="3"/>
  <c r="M14" i="3"/>
  <c r="N14" i="3"/>
  <c r="O14" i="3"/>
  <c r="P14" i="3"/>
  <c r="Q14" i="3"/>
  <c r="R14" i="3"/>
  <c r="S14" i="3"/>
  <c r="H15" i="3"/>
  <c r="I15" i="3"/>
  <c r="J15" i="3"/>
  <c r="K15" i="3"/>
  <c r="L15" i="3"/>
  <c r="M15" i="3"/>
  <c r="N15" i="3"/>
  <c r="O15" i="3"/>
  <c r="P15" i="3"/>
  <c r="Q15" i="3"/>
  <c r="R15" i="3"/>
  <c r="S15" i="3"/>
  <c r="H16" i="3"/>
  <c r="I16" i="3"/>
  <c r="J16" i="3"/>
  <c r="K16" i="3"/>
  <c r="L16" i="3"/>
  <c r="M16" i="3"/>
  <c r="N16" i="3"/>
  <c r="O16" i="3"/>
  <c r="P16" i="3"/>
  <c r="Q16" i="3"/>
  <c r="R16" i="3"/>
  <c r="S16" i="3"/>
  <c r="H17" i="3"/>
  <c r="I17" i="3"/>
  <c r="J17" i="3"/>
  <c r="K17" i="3"/>
  <c r="L17" i="3"/>
  <c r="M17" i="3"/>
  <c r="N17" i="3"/>
  <c r="O17" i="3"/>
  <c r="P17" i="3"/>
  <c r="Q17" i="3"/>
  <c r="R17" i="3"/>
  <c r="S17" i="3"/>
  <c r="I2" i="3"/>
  <c r="J2" i="3"/>
  <c r="K2" i="3"/>
  <c r="L2" i="3"/>
  <c r="M2" i="3"/>
  <c r="N2" i="3"/>
  <c r="O2" i="3"/>
  <c r="P2" i="3"/>
  <c r="Q2" i="3"/>
  <c r="R2" i="3"/>
  <c r="S2" i="3"/>
  <c r="H2" i="3"/>
  <c r="H3" i="4"/>
  <c r="I3" i="4"/>
  <c r="J3" i="4"/>
  <c r="K3" i="4"/>
  <c r="L3" i="4"/>
  <c r="M3" i="4"/>
  <c r="N3" i="4"/>
  <c r="O3" i="4"/>
  <c r="P3" i="4"/>
  <c r="Q3" i="4"/>
  <c r="R3" i="4"/>
  <c r="S3" i="4"/>
  <c r="H4" i="4"/>
  <c r="I4" i="4"/>
  <c r="J4" i="4"/>
  <c r="K4" i="4"/>
  <c r="L4" i="4"/>
  <c r="M4" i="4"/>
  <c r="N4" i="4"/>
  <c r="O4" i="4"/>
  <c r="P4" i="4"/>
  <c r="Q4" i="4"/>
  <c r="R4" i="4"/>
  <c r="S4" i="4"/>
  <c r="H5" i="4"/>
  <c r="I5" i="4"/>
  <c r="J5" i="4"/>
  <c r="K5" i="4"/>
  <c r="L5" i="4"/>
  <c r="M5" i="4"/>
  <c r="N5" i="4"/>
  <c r="O5" i="4"/>
  <c r="P5" i="4"/>
  <c r="Q5" i="4"/>
  <c r="R5" i="4"/>
  <c r="S5" i="4"/>
  <c r="H6" i="4"/>
  <c r="I6" i="4"/>
  <c r="J6" i="4"/>
  <c r="K6" i="4"/>
  <c r="L6" i="4"/>
  <c r="M6" i="4"/>
  <c r="N6" i="4"/>
  <c r="O6" i="4"/>
  <c r="P6" i="4"/>
  <c r="Q6" i="4"/>
  <c r="R6" i="4"/>
  <c r="S6" i="4"/>
  <c r="H7" i="4"/>
  <c r="I7" i="4"/>
  <c r="J7" i="4"/>
  <c r="K7" i="4"/>
  <c r="L7" i="4"/>
  <c r="M7" i="4"/>
  <c r="N7" i="4"/>
  <c r="O7" i="4"/>
  <c r="P7" i="4"/>
  <c r="Q7" i="4"/>
  <c r="R7" i="4"/>
  <c r="S7" i="4"/>
  <c r="H8" i="4"/>
  <c r="I8" i="4"/>
  <c r="J8" i="4"/>
  <c r="K8" i="4"/>
  <c r="L8" i="4"/>
  <c r="M8" i="4"/>
  <c r="N8" i="4"/>
  <c r="O8" i="4"/>
  <c r="P8" i="4"/>
  <c r="Q8" i="4"/>
  <c r="R8" i="4"/>
  <c r="S8" i="4"/>
  <c r="H9" i="4"/>
  <c r="I9" i="4"/>
  <c r="J9" i="4"/>
  <c r="K9" i="4"/>
  <c r="L9" i="4"/>
  <c r="M9" i="4"/>
  <c r="N9" i="4"/>
  <c r="O9" i="4"/>
  <c r="P9" i="4"/>
  <c r="Q9" i="4"/>
  <c r="R9" i="4"/>
  <c r="S9" i="4"/>
  <c r="H10" i="4"/>
  <c r="I10" i="4"/>
  <c r="J10" i="4"/>
  <c r="K10" i="4"/>
  <c r="L10" i="4"/>
  <c r="M10" i="4"/>
  <c r="N10" i="4"/>
  <c r="O10" i="4"/>
  <c r="P10" i="4"/>
  <c r="Q10" i="4"/>
  <c r="R10" i="4"/>
  <c r="S10" i="4"/>
  <c r="H11" i="4"/>
  <c r="I11" i="4"/>
  <c r="J11" i="4"/>
  <c r="K11" i="4"/>
  <c r="L11" i="4"/>
  <c r="M11" i="4"/>
  <c r="N11" i="4"/>
  <c r="O11" i="4"/>
  <c r="P11" i="4"/>
  <c r="Q11" i="4"/>
  <c r="R11" i="4"/>
  <c r="S11" i="4"/>
  <c r="H12" i="4"/>
  <c r="I12" i="4"/>
  <c r="J12" i="4"/>
  <c r="K12" i="4"/>
  <c r="L12" i="4"/>
  <c r="M12" i="4"/>
  <c r="N12" i="4"/>
  <c r="O12" i="4"/>
  <c r="P12" i="4"/>
  <c r="Q12" i="4"/>
  <c r="R12" i="4"/>
  <c r="S12" i="4"/>
  <c r="H13" i="4"/>
  <c r="I13" i="4"/>
  <c r="J13" i="4"/>
  <c r="K13" i="4"/>
  <c r="L13" i="4"/>
  <c r="M13" i="4"/>
  <c r="N13" i="4"/>
  <c r="O13" i="4"/>
  <c r="P13" i="4"/>
  <c r="Q13" i="4"/>
  <c r="R13" i="4"/>
  <c r="S13" i="4"/>
  <c r="H14" i="4"/>
  <c r="I14" i="4"/>
  <c r="J14" i="4"/>
  <c r="K14" i="4"/>
  <c r="L14" i="4"/>
  <c r="M14" i="4"/>
  <c r="N14" i="4"/>
  <c r="O14" i="4"/>
  <c r="P14" i="4"/>
  <c r="Q14" i="4"/>
  <c r="R14" i="4"/>
  <c r="S14" i="4"/>
  <c r="H15" i="4"/>
  <c r="I15" i="4"/>
  <c r="J15" i="4"/>
  <c r="K15" i="4"/>
  <c r="L15" i="4"/>
  <c r="M15" i="4"/>
  <c r="N15" i="4"/>
  <c r="O15" i="4"/>
  <c r="P15" i="4"/>
  <c r="Q15" i="4"/>
  <c r="R15" i="4"/>
  <c r="S15" i="4"/>
  <c r="H16" i="4"/>
  <c r="I16" i="4"/>
  <c r="J16" i="4"/>
  <c r="K16" i="4"/>
  <c r="L16" i="4"/>
  <c r="M16" i="4"/>
  <c r="N16" i="4"/>
  <c r="O16" i="4"/>
  <c r="P16" i="4"/>
  <c r="Q16" i="4"/>
  <c r="R16" i="4"/>
  <c r="S16" i="4"/>
  <c r="H17" i="4"/>
  <c r="I17" i="4"/>
  <c r="J17" i="4"/>
  <c r="K17" i="4"/>
  <c r="L17" i="4"/>
  <c r="M17" i="4"/>
  <c r="N17" i="4"/>
  <c r="O17" i="4"/>
  <c r="P17" i="4"/>
  <c r="Q17" i="4"/>
  <c r="R17" i="4"/>
  <c r="S17" i="4"/>
  <c r="I2" i="4"/>
  <c r="J2" i="4"/>
  <c r="K2" i="4"/>
  <c r="L2" i="4"/>
  <c r="M2" i="4"/>
  <c r="N2" i="4"/>
  <c r="O2" i="4"/>
  <c r="P2" i="4"/>
  <c r="Q2" i="4"/>
  <c r="R2" i="4"/>
  <c r="S2" i="4"/>
  <c r="H2" i="4"/>
  <c r="Y2" i="2"/>
  <c r="Z2" i="2" s="1"/>
  <c r="AB2" i="2" s="1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2" i="2"/>
  <c r="Y3" i="2"/>
  <c r="Z3" i="2" s="1"/>
  <c r="AB3" i="2" s="1"/>
  <c r="Y4" i="2"/>
  <c r="Z4" i="2" s="1"/>
  <c r="AB4" i="2" s="1"/>
  <c r="Y5" i="2"/>
  <c r="Z5" i="2" s="1"/>
  <c r="AB5" i="2" s="1"/>
  <c r="Y6" i="2"/>
  <c r="Z6" i="2" s="1"/>
  <c r="AB6" i="2" s="1"/>
  <c r="Y7" i="2"/>
  <c r="Z7" i="2" s="1"/>
  <c r="AB7" i="2" s="1"/>
  <c r="Y8" i="2"/>
  <c r="Z8" i="2" s="1"/>
  <c r="AB8" i="2" s="1"/>
  <c r="Y9" i="2"/>
  <c r="Z9" i="2" s="1"/>
  <c r="AB9" i="2" s="1"/>
  <c r="Y10" i="2"/>
  <c r="Z10" i="2" s="1"/>
  <c r="AB10" i="2" s="1"/>
  <c r="Y11" i="2"/>
  <c r="Z11" i="2" s="1"/>
  <c r="AB11" i="2" s="1"/>
  <c r="Y12" i="2"/>
  <c r="Z12" i="2" s="1"/>
  <c r="AB12" i="2" s="1"/>
  <c r="Y13" i="2"/>
  <c r="Z13" i="2" s="1"/>
  <c r="AB13" i="2" s="1"/>
  <c r="Y14" i="2"/>
  <c r="Z14" i="2" s="1"/>
  <c r="AB14" i="2" s="1"/>
  <c r="Y15" i="2"/>
  <c r="Z15" i="2" s="1"/>
  <c r="AB15" i="2" s="1"/>
  <c r="Y16" i="2"/>
  <c r="Z16" i="2" s="1"/>
  <c r="AB16" i="2" s="1"/>
  <c r="Y17" i="2"/>
  <c r="Z17" i="2" s="1"/>
  <c r="AB17" i="2" s="1"/>
  <c r="Y16" i="3" l="1"/>
  <c r="Y15" i="3"/>
  <c r="Y14" i="3"/>
  <c r="Y10" i="3"/>
  <c r="Z10" i="3" s="1"/>
  <c r="Y8" i="3"/>
  <c r="Y7" i="3"/>
  <c r="Y6" i="3"/>
  <c r="Y3" i="3"/>
  <c r="AH4" i="4"/>
  <c r="AH9" i="4"/>
  <c r="AH8" i="4"/>
  <c r="AH7" i="4"/>
  <c r="AH6" i="4"/>
  <c r="AH13" i="4"/>
  <c r="AH11" i="4"/>
  <c r="AH3" i="4"/>
  <c r="AH17" i="4"/>
  <c r="AH16" i="4"/>
  <c r="AH15" i="4"/>
  <c r="AH14" i="4"/>
  <c r="AH5" i="4"/>
  <c r="AH12" i="4"/>
  <c r="AH2" i="4"/>
  <c r="AC16" i="3"/>
  <c r="AC15" i="3"/>
  <c r="AC14" i="3"/>
  <c r="AC13" i="3"/>
  <c r="AC12" i="3"/>
  <c r="AC11" i="3"/>
  <c r="AC10" i="3"/>
  <c r="AC8" i="3"/>
  <c r="AC7" i="3"/>
  <c r="AF7" i="3" s="1"/>
  <c r="AG7" i="3" s="1"/>
  <c r="AH7" i="3" s="1"/>
  <c r="AC6" i="3"/>
  <c r="AC5" i="3"/>
  <c r="AC4" i="3"/>
  <c r="AC3" i="3"/>
  <c r="Y17" i="3"/>
  <c r="Y9" i="3"/>
  <c r="Y5" i="3"/>
  <c r="Y11" i="3"/>
  <c r="AA11" i="3" s="1"/>
  <c r="Y2" i="3"/>
  <c r="Y13" i="3"/>
  <c r="Y3" i="4"/>
  <c r="AD4" i="2"/>
  <c r="AE4" i="2" s="1"/>
  <c r="AF4" i="2" s="1"/>
  <c r="AD5" i="2"/>
  <c r="AE5" i="2" s="1"/>
  <c r="AF5" i="2" s="1"/>
  <c r="Y16" i="4"/>
  <c r="Z16" i="4" s="1"/>
  <c r="AB16" i="4" s="1"/>
  <c r="Y14" i="4"/>
  <c r="Z14" i="4" s="1"/>
  <c r="AB14" i="4" s="1"/>
  <c r="Y12" i="4"/>
  <c r="Z12" i="4" s="1"/>
  <c r="AB12" i="4" s="1"/>
  <c r="Y10" i="4"/>
  <c r="Z10" i="4" s="1"/>
  <c r="AB10" i="4" s="1"/>
  <c r="Y9" i="4"/>
  <c r="Z9" i="4" s="1"/>
  <c r="AB9" i="4" s="1"/>
  <c r="Y7" i="4"/>
  <c r="Y6" i="4"/>
  <c r="Z6" i="4" s="1"/>
  <c r="AB6" i="4" s="1"/>
  <c r="Y5" i="4"/>
  <c r="AD11" i="2"/>
  <c r="AE11" i="2" s="1"/>
  <c r="AF11" i="2" s="1"/>
  <c r="AA14" i="4"/>
  <c r="AA7" i="4"/>
  <c r="AA15" i="4"/>
  <c r="AA11" i="4"/>
  <c r="AA8" i="4"/>
  <c r="AA4" i="4"/>
  <c r="AA3" i="4"/>
  <c r="AC3" i="4" s="1"/>
  <c r="AD3" i="2"/>
  <c r="AE3" i="2" s="1"/>
  <c r="AF3" i="2" s="1"/>
  <c r="AD12" i="2"/>
  <c r="AE12" i="2" s="1"/>
  <c r="AF12" i="2" s="1"/>
  <c r="AD10" i="2"/>
  <c r="AE10" i="2" s="1"/>
  <c r="AF10" i="2" s="1"/>
  <c r="AD2" i="2"/>
  <c r="AE2" i="2" s="1"/>
  <c r="AF2" i="2" s="1"/>
  <c r="AA16" i="4"/>
  <c r="AA13" i="4"/>
  <c r="AA9" i="4"/>
  <c r="AA5" i="4"/>
  <c r="AC5" i="4" s="1"/>
  <c r="AA12" i="4"/>
  <c r="AA6" i="4"/>
  <c r="Y17" i="4"/>
  <c r="Y13" i="4"/>
  <c r="Z13" i="4" s="1"/>
  <c r="AB13" i="4" s="1"/>
  <c r="AD6" i="2"/>
  <c r="AE6" i="2" s="1"/>
  <c r="AF6" i="2" s="1"/>
  <c r="AD13" i="2"/>
  <c r="AE13" i="2" s="1"/>
  <c r="AF13" i="2" s="1"/>
  <c r="AA10" i="4"/>
  <c r="AD7" i="2"/>
  <c r="AE7" i="2" s="1"/>
  <c r="AF7" i="2" s="1"/>
  <c r="AD14" i="2"/>
  <c r="AE14" i="2" s="1"/>
  <c r="AF14" i="2" s="1"/>
  <c r="Y2" i="4"/>
  <c r="AD15" i="2"/>
  <c r="AE15" i="2" s="1"/>
  <c r="AF15" i="2" s="1"/>
  <c r="Y15" i="4"/>
  <c r="Y11" i="4"/>
  <c r="Y8" i="4"/>
  <c r="AC8" i="4" s="1"/>
  <c r="Y4" i="4"/>
  <c r="AD8" i="2"/>
  <c r="AE8" i="2" s="1"/>
  <c r="AF8" i="2" s="1"/>
  <c r="AD9" i="2"/>
  <c r="AE9" i="2" s="1"/>
  <c r="AF9" i="2" s="1"/>
  <c r="AD16" i="2"/>
  <c r="AE16" i="2" s="1"/>
  <c r="AF16" i="2" s="1"/>
  <c r="AD17" i="2"/>
  <c r="AE17" i="2" s="1"/>
  <c r="AF17" i="2" s="1"/>
  <c r="AA17" i="4"/>
  <c r="AC17" i="3"/>
  <c r="AC9" i="3"/>
  <c r="AA2" i="4"/>
  <c r="Z3" i="4"/>
  <c r="AB3" i="4" s="1"/>
  <c r="Y4" i="3"/>
  <c r="AA4" i="3" s="1"/>
  <c r="AE13" i="3"/>
  <c r="Y12" i="3"/>
  <c r="AA12" i="3" s="1"/>
  <c r="AC2" i="3"/>
  <c r="AE2" i="3" s="1"/>
  <c r="Z15" i="3"/>
  <c r="AD15" i="3" s="1"/>
  <c r="AC9" i="2"/>
  <c r="AC8" i="2"/>
  <c r="AC17" i="2"/>
  <c r="AC15" i="2"/>
  <c r="AC14" i="2"/>
  <c r="AC5" i="2"/>
  <c r="AC4" i="2"/>
  <c r="AC3" i="2"/>
  <c r="AC16" i="2"/>
  <c r="AC7" i="2"/>
  <c r="AC6" i="2"/>
  <c r="AC13" i="2"/>
  <c r="AC12" i="2"/>
  <c r="AC11" i="2"/>
  <c r="AC10" i="2"/>
  <c r="AE8" i="3" l="1"/>
  <c r="AF6" i="3"/>
  <c r="AG6" i="3" s="1"/>
  <c r="AH6" i="3" s="1"/>
  <c r="AE15" i="3"/>
  <c r="Z3" i="3"/>
  <c r="AD3" i="3" s="1"/>
  <c r="AA3" i="3"/>
  <c r="AA2" i="3"/>
  <c r="Z16" i="3"/>
  <c r="AD16" i="3" s="1"/>
  <c r="AA16" i="3"/>
  <c r="Z5" i="3"/>
  <c r="AD5" i="3" s="1"/>
  <c r="AA5" i="3"/>
  <c r="Z6" i="3"/>
  <c r="AD6" i="3" s="1"/>
  <c r="AA6" i="3"/>
  <c r="Z9" i="3"/>
  <c r="AD9" i="3" s="1"/>
  <c r="AA9" i="3"/>
  <c r="Z7" i="3"/>
  <c r="AD7" i="3" s="1"/>
  <c r="AA7" i="3"/>
  <c r="Z17" i="3"/>
  <c r="AD17" i="3" s="1"/>
  <c r="AA17" i="3"/>
  <c r="AA8" i="3"/>
  <c r="AA10" i="3"/>
  <c r="AF14" i="3"/>
  <c r="AG14" i="3" s="1"/>
  <c r="AH14" i="3" s="1"/>
  <c r="AA14" i="3"/>
  <c r="AE14" i="3"/>
  <c r="AA13" i="3"/>
  <c r="AA15" i="3"/>
  <c r="AF16" i="3"/>
  <c r="AG16" i="3" s="1"/>
  <c r="AH16" i="3" s="1"/>
  <c r="AE3" i="3"/>
  <c r="AE6" i="3"/>
  <c r="AF3" i="3"/>
  <c r="AG3" i="3" s="1"/>
  <c r="AH3" i="3" s="1"/>
  <c r="AF8" i="3"/>
  <c r="AG8" i="3" s="1"/>
  <c r="AH8" i="3" s="1"/>
  <c r="Z14" i="3"/>
  <c r="AD14" i="3" s="1"/>
  <c r="AE7" i="3"/>
  <c r="AE10" i="3"/>
  <c r="AE16" i="3"/>
  <c r="Z8" i="3"/>
  <c r="AD8" i="3" s="1"/>
  <c r="AE5" i="3"/>
  <c r="AF15" i="3"/>
  <c r="AG15" i="3" s="1"/>
  <c r="AH15" i="3" s="1"/>
  <c r="AH18" i="4"/>
  <c r="AF10" i="3"/>
  <c r="AG10" i="3" s="1"/>
  <c r="AH10" i="3" s="1"/>
  <c r="AF9" i="3"/>
  <c r="AF2" i="3"/>
  <c r="AF17" i="3"/>
  <c r="AG17" i="3" s="1"/>
  <c r="AH17" i="3" s="1"/>
  <c r="AF5" i="3"/>
  <c r="AG5" i="3" s="1"/>
  <c r="AH5" i="3" s="1"/>
  <c r="Z11" i="3"/>
  <c r="AD11" i="3" s="1"/>
  <c r="AF11" i="3"/>
  <c r="AG11" i="3" s="1"/>
  <c r="AH11" i="3" s="1"/>
  <c r="AE9" i="3"/>
  <c r="Z4" i="3"/>
  <c r="AD4" i="3" s="1"/>
  <c r="AF4" i="3"/>
  <c r="AG4" i="3" s="1"/>
  <c r="AH4" i="3" s="1"/>
  <c r="Z2" i="3"/>
  <c r="AD2" i="3" s="1"/>
  <c r="AE11" i="3"/>
  <c r="AE17" i="3"/>
  <c r="Z12" i="3"/>
  <c r="AD12" i="3" s="1"/>
  <c r="AF12" i="3"/>
  <c r="AG12" i="3" s="1"/>
  <c r="AH12" i="3" s="1"/>
  <c r="Z13" i="3"/>
  <c r="AD13" i="3" s="1"/>
  <c r="AF13" i="3"/>
  <c r="AG13" i="3" s="1"/>
  <c r="AH13" i="3" s="1"/>
  <c r="AC11" i="4"/>
  <c r="AD5" i="4"/>
  <c r="AE5" i="4" s="1"/>
  <c r="AF5" i="4" s="1"/>
  <c r="AD10" i="4"/>
  <c r="AE10" i="4" s="1"/>
  <c r="AF10" i="4" s="1"/>
  <c r="AC13" i="4"/>
  <c r="AC12" i="4"/>
  <c r="AC2" i="4"/>
  <c r="AC14" i="4"/>
  <c r="AC10" i="4"/>
  <c r="AD3" i="4"/>
  <c r="AE3" i="4" s="1"/>
  <c r="AF3" i="4" s="1"/>
  <c r="AD16" i="4"/>
  <c r="AE16" i="4" s="1"/>
  <c r="AF16" i="4" s="1"/>
  <c r="Z5" i="4"/>
  <c r="AB5" i="4" s="1"/>
  <c r="AD7" i="4"/>
  <c r="AE7" i="4" s="1"/>
  <c r="AF7" i="4" s="1"/>
  <c r="AD6" i="4"/>
  <c r="AE6" i="4" s="1"/>
  <c r="AF6" i="4" s="1"/>
  <c r="AD14" i="4"/>
  <c r="AE14" i="4" s="1"/>
  <c r="AF14" i="4" s="1"/>
  <c r="AD15" i="4"/>
  <c r="AE15" i="4" s="1"/>
  <c r="AF15" i="4" s="1"/>
  <c r="Z7" i="4"/>
  <c r="AC7" i="4"/>
  <c r="Z15" i="4"/>
  <c r="AB15" i="4" s="1"/>
  <c r="AC15" i="4"/>
  <c r="AD4" i="4"/>
  <c r="AE4" i="4" s="1"/>
  <c r="AF4" i="4" s="1"/>
  <c r="AD12" i="4"/>
  <c r="AE12" i="4" s="1"/>
  <c r="AF12" i="4" s="1"/>
  <c r="AD2" i="4"/>
  <c r="AF2" i="4" s="1"/>
  <c r="AC16" i="4"/>
  <c r="AC6" i="4"/>
  <c r="Z17" i="4"/>
  <c r="AD17" i="4"/>
  <c r="AE17" i="4" s="1"/>
  <c r="AF17" i="4" s="1"/>
  <c r="AC9" i="4"/>
  <c r="AC4" i="4"/>
  <c r="AD9" i="4"/>
  <c r="AE9" i="4" s="1"/>
  <c r="AF9" i="4" s="1"/>
  <c r="Z2" i="4"/>
  <c r="Z8" i="4"/>
  <c r="AD8" i="4"/>
  <c r="AE8" i="4" s="1"/>
  <c r="AF8" i="4" s="1"/>
  <c r="AC17" i="4"/>
  <c r="Z11" i="4"/>
  <c r="AD11" i="4"/>
  <c r="AE11" i="4" s="1"/>
  <c r="AF11" i="4" s="1"/>
  <c r="Z4" i="4"/>
  <c r="AB4" i="4" s="1"/>
  <c r="AD13" i="4"/>
  <c r="AE13" i="4" s="1"/>
  <c r="AF13" i="4" s="1"/>
  <c r="AB7" i="4"/>
  <c r="AE12" i="3"/>
  <c r="AE4" i="3"/>
  <c r="AD10" i="3"/>
  <c r="AG2" i="3" l="1"/>
  <c r="AH2" i="3" s="1"/>
  <c r="AF18" i="3"/>
  <c r="AG9" i="3"/>
  <c r="AH9" i="3" s="1"/>
  <c r="AB11" i="4"/>
  <c r="AB8" i="4"/>
  <c r="AB2" i="4"/>
  <c r="AB17" i="4"/>
  <c r="AJ8" i="3" l="1"/>
  <c r="AJ17" i="3"/>
  <c r="AJ4" i="3"/>
  <c r="AJ14" i="3"/>
  <c r="AJ15" i="3"/>
  <c r="AJ10" i="3"/>
  <c r="AJ11" i="3"/>
  <c r="AJ13" i="3"/>
  <c r="AJ16" i="3"/>
  <c r="AJ7" i="3"/>
  <c r="AJ12" i="3"/>
  <c r="AJ5" i="3"/>
  <c r="AJ6" i="3"/>
  <c r="AJ3" i="3"/>
  <c r="AJ9" i="3"/>
  <c r="AJ2" i="3"/>
  <c r="AJ18" i="3" l="1"/>
</calcChain>
</file>

<file path=xl/sharedStrings.xml><?xml version="1.0" encoding="utf-8"?>
<sst xmlns="http://schemas.openxmlformats.org/spreadsheetml/2006/main" count="193" uniqueCount="40">
  <si>
    <t>Sample ID</t>
  </si>
  <si>
    <t>Hour</t>
  </si>
  <si>
    <t>DOY</t>
  </si>
  <si>
    <t>hour</t>
  </si>
  <si>
    <t>time</t>
  </si>
  <si>
    <t>Date</t>
  </si>
  <si>
    <t>DOY_date</t>
  </si>
  <si>
    <t>GFS_1</t>
  </si>
  <si>
    <t>Starch_1</t>
  </si>
  <si>
    <t>GFS_2</t>
  </si>
  <si>
    <t>Starch_2</t>
  </si>
  <si>
    <t>GFS_3</t>
  </si>
  <si>
    <t>Starch_3</t>
  </si>
  <si>
    <t>GFS_4</t>
  </si>
  <si>
    <t>Starch_4</t>
  </si>
  <si>
    <t>Carb_tot_1</t>
  </si>
  <si>
    <t>Carb_tot_2</t>
  </si>
  <si>
    <t>Carb_tot_3</t>
  </si>
  <si>
    <t>Carb_tot_4</t>
  </si>
  <si>
    <t>Valid_1</t>
  </si>
  <si>
    <t>Valid_2</t>
  </si>
  <si>
    <t>Valid_3</t>
  </si>
  <si>
    <t>Valid_4</t>
  </si>
  <si>
    <t>Total valid</t>
  </si>
  <si>
    <t>Carb_total_mean</t>
  </si>
  <si>
    <t>Carb_total_std</t>
  </si>
  <si>
    <t>Carb_CV</t>
  </si>
  <si>
    <t>DOY 186: 07/05</t>
  </si>
  <si>
    <t>DOY 187: 07/06</t>
  </si>
  <si>
    <t>DOY 209: 07/28</t>
  </si>
  <si>
    <t>DOY 236: 08/24</t>
  </si>
  <si>
    <t>DOY 258: 09/15</t>
  </si>
  <si>
    <t>Starch_mean</t>
  </si>
  <si>
    <t>GFS_mean</t>
  </si>
  <si>
    <t>186-197</t>
  </si>
  <si>
    <t>GFS%</t>
  </si>
  <si>
    <t>Starch_std</t>
  </si>
  <si>
    <t>GFS_std</t>
  </si>
  <si>
    <t>Total_std</t>
  </si>
  <si>
    <t>Starch%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</si>
</sst>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14" fontId="0" fillId="0" borderId="0" xfId="0" applyNumberFormat="1"/>
    <xf numFmtId="20" fontId="0" fillId="0" borderId="0" xfId="0" applyNumberFormat="1"/>
    <xf numFmtId="9" fontId="0" fillId="0" borderId="0" xfId="0" applyNumberFormat="1"/>
    <xf numFmtId="164" fontId="0" fillId="0" borderId="0" xfId="0" applyNumberFormat="1"/>
    <xf numFmtId="14" fontId="0" fillId="33" borderId="0" xfId="0" applyNumberFormat="1" applyFill="1"/>
    <xf numFmtId="20" fontId="0" fillId="33" borderId="0" xfId="0" applyNumberFormat="1" applyFill="1"/>
    <xf numFmtId="0" fontId="0" fillId="33" borderId="0" xfId="0" applyFill="1"/>
    <xf numFmtId="164" fontId="0" fillId="33" borderId="0" xfId="0" applyNumberFormat="1" applyFill="1"/>
    <xf numFmtId="9" fontId="0" fillId="33" borderId="0" xfId="0" applyNumberFormat="1" applyFill="1"/>
    <xf numFmtId="14" fontId="0" fillId="34" borderId="0" xfId="0" applyNumberFormat="1" applyFill="1"/>
    <xf numFmtId="20" fontId="0" fillId="34" borderId="0" xfId="0" applyNumberFormat="1" applyFill="1"/>
    <xf numFmtId="0" fontId="0" fillId="34" borderId="0" xfId="0" applyFill="1"/>
    <xf numFmtId="164" fontId="0" fillId="34" borderId="0" xfId="0" applyNumberFormat="1" applyFill="1"/>
    <xf numFmtId="9" fontId="0" fillId="34" borderId="0" xfId="0" applyNumberFormat="1" applyFill="1"/>
    <xf numFmtId="14" fontId="0" fillId="35" borderId="0" xfId="0" applyNumberFormat="1" applyFill="1"/>
    <xf numFmtId="20" fontId="0" fillId="35" borderId="0" xfId="0" applyNumberFormat="1" applyFill="1"/>
    <xf numFmtId="0" fontId="0" fillId="35" borderId="0" xfId="0" applyFill="1"/>
    <xf numFmtId="164" fontId="0" fillId="35" borderId="0" xfId="0" applyNumberFormat="1" applyFill="1"/>
    <xf numFmtId="9" fontId="0" fillId="35" borderId="0" xfId="0" applyNumberFormat="1" applyFill="1"/>
    <xf numFmtId="9" fontId="0" fillId="33" borderId="0" xfId="1" applyFont="1" applyFill="1"/>
    <xf numFmtId="9" fontId="0" fillId="34" borderId="0" xfId="1" applyFont="1" applyFill="1"/>
    <xf numFmtId="14" fontId="0" fillId="36" borderId="0" xfId="0" applyNumberFormat="1" applyFill="1"/>
    <xf numFmtId="20" fontId="0" fillId="36" borderId="0" xfId="0" applyNumberFormat="1" applyFill="1"/>
    <xf numFmtId="0" fontId="0" fillId="36" borderId="0" xfId="0" applyFill="1"/>
    <xf numFmtId="164" fontId="0" fillId="36" borderId="0" xfId="0" applyNumberFormat="1" applyFill="1"/>
    <xf numFmtId="9" fontId="0" fillId="36" borderId="0" xfId="0" applyNumberFormat="1" applyFill="1"/>
    <xf numFmtId="9" fontId="0" fillId="36" borderId="0" xfId="1" applyFont="1" applyFill="1"/>
    <xf numFmtId="9" fontId="0" fillId="35" borderId="0" xfId="1" applyFont="1" applyFill="1"/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9" fontId="0" fillId="33" borderId="0" xfId="1" applyFont="1" applyFill="1" applyAlignment="1">
      <alignment horizontal="center" vertical="center"/>
    </xf>
    <xf numFmtId="9" fontId="0" fillId="34" borderId="0" xfId="1" applyFont="1" applyFill="1" applyAlignment="1">
      <alignment horizontal="center" vertical="center"/>
    </xf>
    <xf numFmtId="9" fontId="0" fillId="36" borderId="0" xfId="1" applyFont="1" applyFill="1" applyAlignment="1">
      <alignment horizontal="center" vertical="center"/>
    </xf>
    <xf numFmtId="9" fontId="0" fillId="35" borderId="0" xfId="1" applyFont="1" applyFill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glucose!$Y$1</c:f>
              <c:strCache>
                <c:ptCount val="1"/>
                <c:pt idx="0">
                  <c:v>Starch_mean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glucose!$C$1:$D$17</c:f>
              <c:multiLvlStrCache>
                <c:ptCount val="17"/>
                <c:lvl>
                  <c:pt idx="0">
                    <c:v>hour</c:v>
                  </c:pt>
                  <c:pt idx="1">
                    <c:v>11</c:v>
                  </c:pt>
                  <c:pt idx="2">
                    <c:v>14</c:v>
                  </c:pt>
                  <c:pt idx="3">
                    <c:v>17</c:v>
                  </c:pt>
                  <c:pt idx="4">
                    <c:v>20</c:v>
                  </c:pt>
                  <c:pt idx="5">
                    <c:v>23</c:v>
                  </c:pt>
                  <c:pt idx="6">
                    <c:v>2</c:v>
                  </c:pt>
                  <c:pt idx="7">
                    <c:v>5</c:v>
                  </c:pt>
                  <c:pt idx="8">
                    <c:v>8</c:v>
                  </c:pt>
                  <c:pt idx="9">
                    <c:v>8</c:v>
                  </c:pt>
                  <c:pt idx="10">
                    <c:v>13</c:v>
                  </c:pt>
                  <c:pt idx="11">
                    <c:v>8</c:v>
                  </c:pt>
                  <c:pt idx="12">
                    <c:v>13</c:v>
                  </c:pt>
                  <c:pt idx="13">
                    <c:v>20</c:v>
                  </c:pt>
                  <c:pt idx="14">
                    <c:v>8</c:v>
                  </c:pt>
                  <c:pt idx="15">
                    <c:v>13</c:v>
                  </c:pt>
                  <c:pt idx="16">
                    <c:v>20</c:v>
                  </c:pt>
                </c:lvl>
                <c:lvl>
                  <c:pt idx="0">
                    <c:v>DOY</c:v>
                  </c:pt>
                  <c:pt idx="1">
                    <c:v>186-197</c:v>
                  </c:pt>
                  <c:pt idx="9">
                    <c:v>209</c:v>
                  </c:pt>
                  <c:pt idx="11">
                    <c:v>236</c:v>
                  </c:pt>
                  <c:pt idx="14">
                    <c:v>258</c:v>
                  </c:pt>
                </c:lvl>
              </c:multiLvlStrCache>
            </c:multiLvlStrRef>
          </c:cat>
          <c:val>
            <c:numRef>
              <c:f>glucose!$Y$2:$Y$17</c:f>
              <c:numCache>
                <c:formatCode>0.0</c:formatCode>
                <c:ptCount val="16"/>
                <c:pt idx="0">
                  <c:v>301.64999999999998</c:v>
                </c:pt>
                <c:pt idx="1">
                  <c:v>382.17500000000001</c:v>
                </c:pt>
                <c:pt idx="2">
                  <c:v>919.55</c:v>
                </c:pt>
                <c:pt idx="3">
                  <c:v>880.63333333333333</c:v>
                </c:pt>
                <c:pt idx="4">
                  <c:v>880.63333333333333</c:v>
                </c:pt>
                <c:pt idx="5">
                  <c:v>419.27500000000003</c:v>
                </c:pt>
                <c:pt idx="6">
                  <c:v>143.96666666666667</c:v>
                </c:pt>
                <c:pt idx="7">
                  <c:v>33.800000000000004</c:v>
                </c:pt>
                <c:pt idx="8">
                  <c:v>124</c:v>
                </c:pt>
                <c:pt idx="9">
                  <c:v>593.42500000000007</c:v>
                </c:pt>
                <c:pt idx="10">
                  <c:v>718.30000000000007</c:v>
                </c:pt>
                <c:pt idx="11">
                  <c:v>1083.9750000000001</c:v>
                </c:pt>
                <c:pt idx="12">
                  <c:v>1267.6500000000001</c:v>
                </c:pt>
                <c:pt idx="13">
                  <c:v>191</c:v>
                </c:pt>
                <c:pt idx="14">
                  <c:v>122.23333333333333</c:v>
                </c:pt>
                <c:pt idx="15">
                  <c:v>77.566666666666663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4-334C-946C-514DD7180BB9}"/>
            </c:ext>
          </c:extLst>
        </c:ser>
        <c:ser>
          <c:idx val="1"/>
          <c:order val="1"/>
          <c:tx>
            <c:strRef>
              <c:f>glucose!$AA$1</c:f>
              <c:strCache>
                <c:ptCount val="1"/>
                <c:pt idx="0">
                  <c:v>GFS_mean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glucose!$AA$2:$AA$17</c:f>
              <c:numCache>
                <c:formatCode>0.0</c:formatCode>
                <c:ptCount val="16"/>
                <c:pt idx="0">
                  <c:v>239.89999999999998</c:v>
                </c:pt>
                <c:pt idx="1">
                  <c:v>144.75</c:v>
                </c:pt>
                <c:pt idx="2">
                  <c:v>155.55000000000001</c:v>
                </c:pt>
                <c:pt idx="3">
                  <c:v>115.26666666666667</c:v>
                </c:pt>
                <c:pt idx="4">
                  <c:v>115.26666666666667</c:v>
                </c:pt>
                <c:pt idx="5">
                  <c:v>111.925</c:v>
                </c:pt>
                <c:pt idx="6">
                  <c:v>131.26666666666668</c:v>
                </c:pt>
                <c:pt idx="7">
                  <c:v>114.23333333333333</c:v>
                </c:pt>
                <c:pt idx="8">
                  <c:v>192.2</c:v>
                </c:pt>
                <c:pt idx="9">
                  <c:v>225.95</c:v>
                </c:pt>
                <c:pt idx="10">
                  <c:v>84.533333333333317</c:v>
                </c:pt>
                <c:pt idx="11">
                  <c:v>85.724999999999994</c:v>
                </c:pt>
                <c:pt idx="12">
                  <c:v>79.150000000000006</c:v>
                </c:pt>
                <c:pt idx="13">
                  <c:v>64.333333333333329</c:v>
                </c:pt>
                <c:pt idx="14">
                  <c:v>72.8</c:v>
                </c:pt>
                <c:pt idx="15">
                  <c:v>64.833333333333343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64-334C-946C-514DD7180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0313919"/>
        <c:axId val="1420313023"/>
      </c:barChart>
      <c:catAx>
        <c:axId val="142031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313023"/>
        <c:crosses val="autoZero"/>
        <c:auto val="1"/>
        <c:lblAlgn val="ctr"/>
        <c:lblOffset val="100"/>
        <c:noMultiLvlLbl val="0"/>
      </c:catAx>
      <c:valAx>
        <c:axId val="142031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313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glucose!$Y$1</c:f>
              <c:strCache>
                <c:ptCount val="1"/>
                <c:pt idx="0">
                  <c:v>Starch_mean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glucose!$C$1:$D$17</c:f>
              <c:multiLvlStrCache>
                <c:ptCount val="17"/>
                <c:lvl>
                  <c:pt idx="0">
                    <c:v>hour</c:v>
                  </c:pt>
                  <c:pt idx="1">
                    <c:v>11</c:v>
                  </c:pt>
                  <c:pt idx="2">
                    <c:v>14</c:v>
                  </c:pt>
                  <c:pt idx="3">
                    <c:v>17</c:v>
                  </c:pt>
                  <c:pt idx="4">
                    <c:v>20</c:v>
                  </c:pt>
                  <c:pt idx="5">
                    <c:v>23</c:v>
                  </c:pt>
                  <c:pt idx="6">
                    <c:v>2</c:v>
                  </c:pt>
                  <c:pt idx="7">
                    <c:v>5</c:v>
                  </c:pt>
                  <c:pt idx="8">
                    <c:v>8</c:v>
                  </c:pt>
                  <c:pt idx="9">
                    <c:v>8</c:v>
                  </c:pt>
                  <c:pt idx="10">
                    <c:v>13</c:v>
                  </c:pt>
                  <c:pt idx="11">
                    <c:v>8</c:v>
                  </c:pt>
                  <c:pt idx="12">
                    <c:v>13</c:v>
                  </c:pt>
                  <c:pt idx="13">
                    <c:v>20</c:v>
                  </c:pt>
                  <c:pt idx="14">
                    <c:v>8</c:v>
                  </c:pt>
                  <c:pt idx="15">
                    <c:v>13</c:v>
                  </c:pt>
                  <c:pt idx="16">
                    <c:v>20</c:v>
                  </c:pt>
                </c:lvl>
                <c:lvl>
                  <c:pt idx="0">
                    <c:v>DOY</c:v>
                  </c:pt>
                  <c:pt idx="1">
                    <c:v>186-197</c:v>
                  </c:pt>
                  <c:pt idx="9">
                    <c:v>209</c:v>
                  </c:pt>
                  <c:pt idx="11">
                    <c:v>236</c:v>
                  </c:pt>
                  <c:pt idx="14">
                    <c:v>258</c:v>
                  </c:pt>
                </c:lvl>
              </c:multiLvlStrCache>
            </c:multiLvlStrRef>
          </c:cat>
          <c:val>
            <c:numRef>
              <c:f>glucose!$Y$2:$Y$17</c:f>
              <c:numCache>
                <c:formatCode>0.0</c:formatCode>
                <c:ptCount val="16"/>
                <c:pt idx="0">
                  <c:v>301.64999999999998</c:v>
                </c:pt>
                <c:pt idx="1">
                  <c:v>382.17500000000001</c:v>
                </c:pt>
                <c:pt idx="2">
                  <c:v>919.55</c:v>
                </c:pt>
                <c:pt idx="3">
                  <c:v>880.63333333333333</c:v>
                </c:pt>
                <c:pt idx="4">
                  <c:v>880.63333333333333</c:v>
                </c:pt>
                <c:pt idx="5">
                  <c:v>419.27500000000003</c:v>
                </c:pt>
                <c:pt idx="6">
                  <c:v>143.96666666666667</c:v>
                </c:pt>
                <c:pt idx="7">
                  <c:v>33.800000000000004</c:v>
                </c:pt>
                <c:pt idx="8">
                  <c:v>124</c:v>
                </c:pt>
                <c:pt idx="9">
                  <c:v>593.42500000000007</c:v>
                </c:pt>
                <c:pt idx="10">
                  <c:v>718.30000000000007</c:v>
                </c:pt>
                <c:pt idx="11">
                  <c:v>1083.9750000000001</c:v>
                </c:pt>
                <c:pt idx="12">
                  <c:v>1267.6500000000001</c:v>
                </c:pt>
                <c:pt idx="13">
                  <c:v>191</c:v>
                </c:pt>
                <c:pt idx="14">
                  <c:v>122.23333333333333</c:v>
                </c:pt>
                <c:pt idx="15">
                  <c:v>77.566666666666663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E8-CC4D-B5A8-0A3E00AC5780}"/>
            </c:ext>
          </c:extLst>
        </c:ser>
        <c:ser>
          <c:idx val="1"/>
          <c:order val="1"/>
          <c:tx>
            <c:strRef>
              <c:f>glucose!$AA$1</c:f>
              <c:strCache>
                <c:ptCount val="1"/>
                <c:pt idx="0">
                  <c:v>GFS_mean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glucose!$AA$2:$AA$17</c:f>
              <c:numCache>
                <c:formatCode>0.0</c:formatCode>
                <c:ptCount val="16"/>
                <c:pt idx="0">
                  <c:v>239.89999999999998</c:v>
                </c:pt>
                <c:pt idx="1">
                  <c:v>144.75</c:v>
                </c:pt>
                <c:pt idx="2">
                  <c:v>155.55000000000001</c:v>
                </c:pt>
                <c:pt idx="3">
                  <c:v>115.26666666666667</c:v>
                </c:pt>
                <c:pt idx="4">
                  <c:v>115.26666666666667</c:v>
                </c:pt>
                <c:pt idx="5">
                  <c:v>111.925</c:v>
                </c:pt>
                <c:pt idx="6">
                  <c:v>131.26666666666668</c:v>
                </c:pt>
                <c:pt idx="7">
                  <c:v>114.23333333333333</c:v>
                </c:pt>
                <c:pt idx="8">
                  <c:v>192.2</c:v>
                </c:pt>
                <c:pt idx="9">
                  <c:v>225.95</c:v>
                </c:pt>
                <c:pt idx="10">
                  <c:v>84.533333333333317</c:v>
                </c:pt>
                <c:pt idx="11">
                  <c:v>85.724999999999994</c:v>
                </c:pt>
                <c:pt idx="12">
                  <c:v>79.150000000000006</c:v>
                </c:pt>
                <c:pt idx="13">
                  <c:v>64.333333333333329</c:v>
                </c:pt>
                <c:pt idx="14">
                  <c:v>72.8</c:v>
                </c:pt>
                <c:pt idx="15">
                  <c:v>64.833333333333343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E8-CC4D-B5A8-0A3E00AC5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0313919"/>
        <c:axId val="1420313023"/>
      </c:barChart>
      <c:catAx>
        <c:axId val="142031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313023"/>
        <c:crosses val="autoZero"/>
        <c:auto val="1"/>
        <c:lblAlgn val="ctr"/>
        <c:lblOffset val="100"/>
        <c:noMultiLvlLbl val="0"/>
      </c:catAx>
      <c:valAx>
        <c:axId val="142031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313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glucose!$AA$1</c:f>
              <c:strCache>
                <c:ptCount val="1"/>
                <c:pt idx="0">
                  <c:v>GFS_mean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glucose!$AB$2:$AB$17</c:f>
                <c:numCache>
                  <c:formatCode>General</c:formatCode>
                  <c:ptCount val="16"/>
                  <c:pt idx="0">
                    <c:v>332.38439538602944</c:v>
                  </c:pt>
                  <c:pt idx="1">
                    <c:v>29.489039211328716</c:v>
                  </c:pt>
                  <c:pt idx="2">
                    <c:v>214.33617938039004</c:v>
                  </c:pt>
                  <c:pt idx="3">
                    <c:v>54.006869752253309</c:v>
                  </c:pt>
                  <c:pt idx="4">
                    <c:v>54.006869752253309</c:v>
                  </c:pt>
                  <c:pt idx="5">
                    <c:v>15.039536844262681</c:v>
                  </c:pt>
                  <c:pt idx="6">
                    <c:v>123.20404283700545</c:v>
                  </c:pt>
                  <c:pt idx="7">
                    <c:v>126.68335707242157</c:v>
                  </c:pt>
                  <c:pt idx="8">
                    <c:v>233.94521098390061</c:v>
                  </c:pt>
                  <c:pt idx="9">
                    <c:v>81.81351681027445</c:v>
                  </c:pt>
                  <c:pt idx="10">
                    <c:v>239.93425600397427</c:v>
                  </c:pt>
                  <c:pt idx="11">
                    <c:v>20.902711654160452</c:v>
                  </c:pt>
                  <c:pt idx="12">
                    <c:v>188.76817420895819</c:v>
                  </c:pt>
                  <c:pt idx="13">
                    <c:v>6.6271797335348177</c:v>
                  </c:pt>
                  <c:pt idx="14">
                    <c:v>9.5308801934940863</c:v>
                  </c:pt>
                  <c:pt idx="15">
                    <c:v>9.2626964364942932</c:v>
                  </c:pt>
                </c:numCache>
              </c:numRef>
            </c:plus>
            <c:minus>
              <c:numRef>
                <c:f>glucose!$AB$2:$AB$17</c:f>
                <c:numCache>
                  <c:formatCode>General</c:formatCode>
                  <c:ptCount val="16"/>
                  <c:pt idx="0">
                    <c:v>332.38439538602944</c:v>
                  </c:pt>
                  <c:pt idx="1">
                    <c:v>29.489039211328716</c:v>
                  </c:pt>
                  <c:pt idx="2">
                    <c:v>214.33617938039004</c:v>
                  </c:pt>
                  <c:pt idx="3">
                    <c:v>54.006869752253309</c:v>
                  </c:pt>
                  <c:pt idx="4">
                    <c:v>54.006869752253309</c:v>
                  </c:pt>
                  <c:pt idx="5">
                    <c:v>15.039536844262681</c:v>
                  </c:pt>
                  <c:pt idx="6">
                    <c:v>123.20404283700545</c:v>
                  </c:pt>
                  <c:pt idx="7">
                    <c:v>126.68335707242157</c:v>
                  </c:pt>
                  <c:pt idx="8">
                    <c:v>233.94521098390061</c:v>
                  </c:pt>
                  <c:pt idx="9">
                    <c:v>81.81351681027445</c:v>
                  </c:pt>
                  <c:pt idx="10">
                    <c:v>239.93425600397427</c:v>
                  </c:pt>
                  <c:pt idx="11">
                    <c:v>20.902711654160452</c:v>
                  </c:pt>
                  <c:pt idx="12">
                    <c:v>188.76817420895819</c:v>
                  </c:pt>
                  <c:pt idx="13">
                    <c:v>6.6271797335348177</c:v>
                  </c:pt>
                  <c:pt idx="14">
                    <c:v>9.5308801934940863</c:v>
                  </c:pt>
                  <c:pt idx="15">
                    <c:v>9.2626964364942932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glucose!$C$2:$D$17</c:f>
              <c:multiLvlStrCache>
                <c:ptCount val="16"/>
                <c:lvl>
                  <c:pt idx="0">
                    <c:v>11</c:v>
                  </c:pt>
                  <c:pt idx="1">
                    <c:v>14</c:v>
                  </c:pt>
                  <c:pt idx="2">
                    <c:v>17</c:v>
                  </c:pt>
                  <c:pt idx="3">
                    <c:v>20</c:v>
                  </c:pt>
                  <c:pt idx="4">
                    <c:v>23</c:v>
                  </c:pt>
                  <c:pt idx="5">
                    <c:v>2</c:v>
                  </c:pt>
                  <c:pt idx="6">
                    <c:v>5</c:v>
                  </c:pt>
                  <c:pt idx="7">
                    <c:v>8</c:v>
                  </c:pt>
                  <c:pt idx="8">
                    <c:v>8</c:v>
                  </c:pt>
                  <c:pt idx="9">
                    <c:v>13</c:v>
                  </c:pt>
                  <c:pt idx="10">
                    <c:v>8</c:v>
                  </c:pt>
                  <c:pt idx="11">
                    <c:v>13</c:v>
                  </c:pt>
                  <c:pt idx="12">
                    <c:v>20</c:v>
                  </c:pt>
                  <c:pt idx="13">
                    <c:v>8</c:v>
                  </c:pt>
                  <c:pt idx="14">
                    <c:v>13</c:v>
                  </c:pt>
                  <c:pt idx="15">
                    <c:v>20</c:v>
                  </c:pt>
                </c:lvl>
                <c:lvl>
                  <c:pt idx="0">
                    <c:v>186-197</c:v>
                  </c:pt>
                  <c:pt idx="8">
                    <c:v>209</c:v>
                  </c:pt>
                  <c:pt idx="10">
                    <c:v>236</c:v>
                  </c:pt>
                  <c:pt idx="13">
                    <c:v>258</c:v>
                  </c:pt>
                </c:lvl>
              </c:multiLvlStrCache>
            </c:multiLvlStrRef>
          </c:cat>
          <c:val>
            <c:numRef>
              <c:f>glucose!$AA$2:$AA$17</c:f>
              <c:numCache>
                <c:formatCode>0.0</c:formatCode>
                <c:ptCount val="16"/>
                <c:pt idx="0">
                  <c:v>239.89999999999998</c:v>
                </c:pt>
                <c:pt idx="1">
                  <c:v>144.75</c:v>
                </c:pt>
                <c:pt idx="2">
                  <c:v>155.55000000000001</c:v>
                </c:pt>
                <c:pt idx="3">
                  <c:v>115.26666666666667</c:v>
                </c:pt>
                <c:pt idx="4">
                  <c:v>115.26666666666667</c:v>
                </c:pt>
                <c:pt idx="5">
                  <c:v>111.925</c:v>
                </c:pt>
                <c:pt idx="6">
                  <c:v>131.26666666666668</c:v>
                </c:pt>
                <c:pt idx="7">
                  <c:v>114.23333333333333</c:v>
                </c:pt>
                <c:pt idx="8">
                  <c:v>192.2</c:v>
                </c:pt>
                <c:pt idx="9">
                  <c:v>225.95</c:v>
                </c:pt>
                <c:pt idx="10">
                  <c:v>84.533333333333317</c:v>
                </c:pt>
                <c:pt idx="11">
                  <c:v>85.724999999999994</c:v>
                </c:pt>
                <c:pt idx="12">
                  <c:v>79.150000000000006</c:v>
                </c:pt>
                <c:pt idx="13">
                  <c:v>64.333333333333329</c:v>
                </c:pt>
                <c:pt idx="14">
                  <c:v>72.8</c:v>
                </c:pt>
                <c:pt idx="15">
                  <c:v>64.833333333333343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05-9B4E-BC7D-2A378346507F}"/>
            </c:ext>
          </c:extLst>
        </c:ser>
        <c:ser>
          <c:idx val="2"/>
          <c:order val="1"/>
          <c:tx>
            <c:strRef>
              <c:f>glucose!$Y$1</c:f>
              <c:strCache>
                <c:ptCount val="1"/>
                <c:pt idx="0">
                  <c:v>Starch_mean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glucose!$Z$2:$Z$17</c:f>
                <c:numCache>
                  <c:formatCode>General</c:formatCode>
                  <c:ptCount val="16"/>
                  <c:pt idx="0">
                    <c:v>4.879036790187202</c:v>
                  </c:pt>
                  <c:pt idx="1">
                    <c:v>137.41514654505886</c:v>
                  </c:pt>
                  <c:pt idx="2">
                    <c:v>7.000357133746804</c:v>
                  </c:pt>
                  <c:pt idx="3">
                    <c:v>71.248953208684625</c:v>
                  </c:pt>
                  <c:pt idx="4">
                    <c:v>71.248953208684625</c:v>
                  </c:pt>
                  <c:pt idx="5">
                    <c:v>118.87509901853571</c:v>
                  </c:pt>
                  <c:pt idx="6">
                    <c:v>30.958897482522421</c:v>
                  </c:pt>
                  <c:pt idx="7">
                    <c:v>10.912378292562991</c:v>
                  </c:pt>
                  <c:pt idx="8">
                    <c:v>28.001428534987287</c:v>
                  </c:pt>
                  <c:pt idx="9">
                    <c:v>288.75793062702189</c:v>
                  </c:pt>
                  <c:pt idx="10">
                    <c:v>280.40064193935081</c:v>
                  </c:pt>
                  <c:pt idx="11">
                    <c:v>95.245800432355011</c:v>
                  </c:pt>
                  <c:pt idx="12">
                    <c:v>242.4806315289257</c:v>
                  </c:pt>
                  <c:pt idx="13">
                    <c:v>60.711531029945206</c:v>
                  </c:pt>
                  <c:pt idx="14">
                    <c:v>76.34096759495084</c:v>
                  </c:pt>
                  <c:pt idx="15">
                    <c:v>70.226799253086654</c:v>
                  </c:pt>
                </c:numCache>
              </c:numRef>
            </c:plus>
            <c:minus>
              <c:numRef>
                <c:f>glucose!$Z$2:$Z$17</c:f>
                <c:numCache>
                  <c:formatCode>General</c:formatCode>
                  <c:ptCount val="16"/>
                  <c:pt idx="0">
                    <c:v>4.879036790187202</c:v>
                  </c:pt>
                  <c:pt idx="1">
                    <c:v>137.41514654505886</c:v>
                  </c:pt>
                  <c:pt idx="2">
                    <c:v>7.000357133746804</c:v>
                  </c:pt>
                  <c:pt idx="3">
                    <c:v>71.248953208684625</c:v>
                  </c:pt>
                  <c:pt idx="4">
                    <c:v>71.248953208684625</c:v>
                  </c:pt>
                  <c:pt idx="5">
                    <c:v>118.87509901853571</c:v>
                  </c:pt>
                  <c:pt idx="6">
                    <c:v>30.958897482522421</c:v>
                  </c:pt>
                  <c:pt idx="7">
                    <c:v>10.912378292562991</c:v>
                  </c:pt>
                  <c:pt idx="8">
                    <c:v>28.001428534987287</c:v>
                  </c:pt>
                  <c:pt idx="9">
                    <c:v>288.75793062702189</c:v>
                  </c:pt>
                  <c:pt idx="10">
                    <c:v>280.40064193935081</c:v>
                  </c:pt>
                  <c:pt idx="11">
                    <c:v>95.245800432355011</c:v>
                  </c:pt>
                  <c:pt idx="12">
                    <c:v>242.4806315289257</c:v>
                  </c:pt>
                  <c:pt idx="13">
                    <c:v>60.711531029945206</c:v>
                  </c:pt>
                  <c:pt idx="14">
                    <c:v>76.34096759495084</c:v>
                  </c:pt>
                  <c:pt idx="15">
                    <c:v>70.226799253086654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glucose!$C$2:$D$17</c:f>
              <c:multiLvlStrCache>
                <c:ptCount val="16"/>
                <c:lvl>
                  <c:pt idx="0">
                    <c:v>11</c:v>
                  </c:pt>
                  <c:pt idx="1">
                    <c:v>14</c:v>
                  </c:pt>
                  <c:pt idx="2">
                    <c:v>17</c:v>
                  </c:pt>
                  <c:pt idx="3">
                    <c:v>20</c:v>
                  </c:pt>
                  <c:pt idx="4">
                    <c:v>23</c:v>
                  </c:pt>
                  <c:pt idx="5">
                    <c:v>2</c:v>
                  </c:pt>
                  <c:pt idx="6">
                    <c:v>5</c:v>
                  </c:pt>
                  <c:pt idx="7">
                    <c:v>8</c:v>
                  </c:pt>
                  <c:pt idx="8">
                    <c:v>8</c:v>
                  </c:pt>
                  <c:pt idx="9">
                    <c:v>13</c:v>
                  </c:pt>
                  <c:pt idx="10">
                    <c:v>8</c:v>
                  </c:pt>
                  <c:pt idx="11">
                    <c:v>13</c:v>
                  </c:pt>
                  <c:pt idx="12">
                    <c:v>20</c:v>
                  </c:pt>
                  <c:pt idx="13">
                    <c:v>8</c:v>
                  </c:pt>
                  <c:pt idx="14">
                    <c:v>13</c:v>
                  </c:pt>
                  <c:pt idx="15">
                    <c:v>20</c:v>
                  </c:pt>
                </c:lvl>
                <c:lvl>
                  <c:pt idx="0">
                    <c:v>186-197</c:v>
                  </c:pt>
                  <c:pt idx="8">
                    <c:v>209</c:v>
                  </c:pt>
                  <c:pt idx="10">
                    <c:v>236</c:v>
                  </c:pt>
                  <c:pt idx="13">
                    <c:v>258</c:v>
                  </c:pt>
                </c:lvl>
              </c:multiLvlStrCache>
            </c:multiLvlStrRef>
          </c:cat>
          <c:val>
            <c:numRef>
              <c:f>glucose!$Y$2:$Y$17</c:f>
              <c:numCache>
                <c:formatCode>0.0</c:formatCode>
                <c:ptCount val="16"/>
                <c:pt idx="0">
                  <c:v>301.64999999999998</c:v>
                </c:pt>
                <c:pt idx="1">
                  <c:v>382.17500000000001</c:v>
                </c:pt>
                <c:pt idx="2">
                  <c:v>919.55</c:v>
                </c:pt>
                <c:pt idx="3">
                  <c:v>880.63333333333333</c:v>
                </c:pt>
                <c:pt idx="4">
                  <c:v>880.63333333333333</c:v>
                </c:pt>
                <c:pt idx="5">
                  <c:v>419.27500000000003</c:v>
                </c:pt>
                <c:pt idx="6">
                  <c:v>143.96666666666667</c:v>
                </c:pt>
                <c:pt idx="7">
                  <c:v>33.800000000000004</c:v>
                </c:pt>
                <c:pt idx="8">
                  <c:v>124</c:v>
                </c:pt>
                <c:pt idx="9">
                  <c:v>593.42500000000007</c:v>
                </c:pt>
                <c:pt idx="10">
                  <c:v>718.30000000000007</c:v>
                </c:pt>
                <c:pt idx="11">
                  <c:v>1083.9750000000001</c:v>
                </c:pt>
                <c:pt idx="12">
                  <c:v>1267.6500000000001</c:v>
                </c:pt>
                <c:pt idx="13">
                  <c:v>191</c:v>
                </c:pt>
                <c:pt idx="14">
                  <c:v>122.23333333333333</c:v>
                </c:pt>
                <c:pt idx="15">
                  <c:v>77.566666666666663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5-9B4E-BC7D-2A3783465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0313919"/>
        <c:axId val="1420313023"/>
      </c:barChart>
      <c:lineChart>
        <c:grouping val="standard"/>
        <c:varyColors val="0"/>
        <c:ser>
          <c:idx val="0"/>
          <c:order val="2"/>
          <c:tx>
            <c:strRef>
              <c:f>glucose!$AC$1</c:f>
              <c:strCache>
                <c:ptCount val="1"/>
                <c:pt idx="0">
                  <c:v>GFS%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glucose!$C$2:$D$17</c:f>
              <c:multiLvlStrCache>
                <c:ptCount val="16"/>
                <c:lvl>
                  <c:pt idx="0">
                    <c:v>11</c:v>
                  </c:pt>
                  <c:pt idx="1">
                    <c:v>14</c:v>
                  </c:pt>
                  <c:pt idx="2">
                    <c:v>17</c:v>
                  </c:pt>
                  <c:pt idx="3">
                    <c:v>20</c:v>
                  </c:pt>
                  <c:pt idx="4">
                    <c:v>23</c:v>
                  </c:pt>
                  <c:pt idx="5">
                    <c:v>2</c:v>
                  </c:pt>
                  <c:pt idx="6">
                    <c:v>5</c:v>
                  </c:pt>
                  <c:pt idx="7">
                    <c:v>8</c:v>
                  </c:pt>
                  <c:pt idx="8">
                    <c:v>8</c:v>
                  </c:pt>
                  <c:pt idx="9">
                    <c:v>13</c:v>
                  </c:pt>
                  <c:pt idx="10">
                    <c:v>8</c:v>
                  </c:pt>
                  <c:pt idx="11">
                    <c:v>13</c:v>
                  </c:pt>
                  <c:pt idx="12">
                    <c:v>20</c:v>
                  </c:pt>
                  <c:pt idx="13">
                    <c:v>8</c:v>
                  </c:pt>
                  <c:pt idx="14">
                    <c:v>13</c:v>
                  </c:pt>
                  <c:pt idx="15">
                    <c:v>20</c:v>
                  </c:pt>
                </c:lvl>
                <c:lvl>
                  <c:pt idx="0">
                    <c:v>186-197</c:v>
                  </c:pt>
                  <c:pt idx="8">
                    <c:v>209</c:v>
                  </c:pt>
                  <c:pt idx="10">
                    <c:v>236</c:v>
                  </c:pt>
                  <c:pt idx="13">
                    <c:v>258</c:v>
                  </c:pt>
                </c:lvl>
              </c:multiLvlStrCache>
            </c:multiLvlStrRef>
          </c:cat>
          <c:val>
            <c:numRef>
              <c:f>glucose!$AC$2:$AC$17</c:f>
              <c:numCache>
                <c:formatCode>0%</c:formatCode>
                <c:ptCount val="16"/>
                <c:pt idx="0">
                  <c:v>0.44298772043209306</c:v>
                </c:pt>
                <c:pt idx="1">
                  <c:v>0.27470702661669122</c:v>
                </c:pt>
                <c:pt idx="2">
                  <c:v>0.14468421542182125</c:v>
                </c:pt>
                <c:pt idx="3">
                  <c:v>0.1157412056096663</c:v>
                </c:pt>
                <c:pt idx="4">
                  <c:v>0.1157412056096663</c:v>
                </c:pt>
                <c:pt idx="5">
                  <c:v>0.21070218373493974</c:v>
                </c:pt>
                <c:pt idx="6">
                  <c:v>0.47692866658592714</c:v>
                </c:pt>
                <c:pt idx="7">
                  <c:v>0.77167304661112368</c:v>
                </c:pt>
                <c:pt idx="8">
                  <c:v>0.60784313725490191</c:v>
                </c:pt>
                <c:pt idx="9">
                  <c:v>0.27575896262395116</c:v>
                </c:pt>
                <c:pt idx="10">
                  <c:v>0.10529375129748804</c:v>
                </c:pt>
                <c:pt idx="11">
                  <c:v>7.3288022569889713E-2</c:v>
                </c:pt>
                <c:pt idx="12">
                  <c:v>5.8768933768933766E-2</c:v>
                </c:pt>
                <c:pt idx="13">
                  <c:v>0.25195822454308092</c:v>
                </c:pt>
                <c:pt idx="14">
                  <c:v>0.37326952657665358</c:v>
                </c:pt>
                <c:pt idx="15">
                  <c:v>0.45529026217228469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05-9B4E-BC7D-2A3783465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0308735"/>
        <c:axId val="1651971327"/>
      </c:lineChart>
      <c:catAx>
        <c:axId val="142031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313023"/>
        <c:crosses val="autoZero"/>
        <c:auto val="1"/>
        <c:lblAlgn val="ctr"/>
        <c:lblOffset val="100"/>
        <c:noMultiLvlLbl val="0"/>
      </c:catAx>
      <c:valAx>
        <c:axId val="142031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313919"/>
        <c:crosses val="autoZero"/>
        <c:crossBetween val="between"/>
      </c:valAx>
      <c:valAx>
        <c:axId val="1651971327"/>
        <c:scaling>
          <c:orientation val="minMax"/>
          <c:max val="1"/>
          <c:min val="-0.25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308735"/>
        <c:crosses val="max"/>
        <c:crossBetween val="between"/>
        <c:majorUnit val="0.25"/>
      </c:valAx>
      <c:catAx>
        <c:axId val="14203087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519713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'C'!$AA$1</c:f>
              <c:strCache>
                <c:ptCount val="1"/>
                <c:pt idx="0">
                  <c:v>GFS_mean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'C'!$AB$2:$AB$17</c:f>
                <c:numCache>
                  <c:formatCode>General</c:formatCode>
                  <c:ptCount val="16"/>
                  <c:pt idx="0">
                    <c:v>1.9943063723161765</c:v>
                  </c:pt>
                  <c:pt idx="1">
                    <c:v>0.17693423526797222</c:v>
                  </c:pt>
                  <c:pt idx="2">
                    <c:v>1.2860170762823409</c:v>
                  </c:pt>
                  <c:pt idx="3">
                    <c:v>0.3240412185135198</c:v>
                  </c:pt>
                  <c:pt idx="4">
                    <c:v>0.3240412185135198</c:v>
                  </c:pt>
                  <c:pt idx="5">
                    <c:v>9.023722106557619E-2</c:v>
                  </c:pt>
                  <c:pt idx="6">
                    <c:v>0.73922425702203265</c:v>
                  </c:pt>
                  <c:pt idx="7">
                    <c:v>0.76010014243452939</c:v>
                  </c:pt>
                  <c:pt idx="8">
                    <c:v>1.4036712659034039</c:v>
                  </c:pt>
                  <c:pt idx="9">
                    <c:v>0.49088110086164716</c:v>
                  </c:pt>
                  <c:pt idx="10">
                    <c:v>1.4396055360238456</c:v>
                  </c:pt>
                  <c:pt idx="11">
                    <c:v>0.12541626992496274</c:v>
                  </c:pt>
                  <c:pt idx="12">
                    <c:v>1.1326090452537489</c:v>
                  </c:pt>
                  <c:pt idx="13">
                    <c:v>3.9763078401208879E-2</c:v>
                  </c:pt>
                  <c:pt idx="14">
                    <c:v>5.7185281160964462E-2</c:v>
                  </c:pt>
                  <c:pt idx="15">
                    <c:v>5.5576178618965709E-2</c:v>
                  </c:pt>
                </c:numCache>
              </c:numRef>
            </c:plus>
            <c:minus>
              <c:numRef>
                <c:f>'C'!$AB$2:$AB$17</c:f>
                <c:numCache>
                  <c:formatCode>General</c:formatCode>
                  <c:ptCount val="16"/>
                  <c:pt idx="0">
                    <c:v>1.9943063723161765</c:v>
                  </c:pt>
                  <c:pt idx="1">
                    <c:v>0.17693423526797222</c:v>
                  </c:pt>
                  <c:pt idx="2">
                    <c:v>1.2860170762823409</c:v>
                  </c:pt>
                  <c:pt idx="3">
                    <c:v>0.3240412185135198</c:v>
                  </c:pt>
                  <c:pt idx="4">
                    <c:v>0.3240412185135198</c:v>
                  </c:pt>
                  <c:pt idx="5">
                    <c:v>9.023722106557619E-2</c:v>
                  </c:pt>
                  <c:pt idx="6">
                    <c:v>0.73922425702203265</c:v>
                  </c:pt>
                  <c:pt idx="7">
                    <c:v>0.76010014243452939</c:v>
                  </c:pt>
                  <c:pt idx="8">
                    <c:v>1.4036712659034039</c:v>
                  </c:pt>
                  <c:pt idx="9">
                    <c:v>0.49088110086164716</c:v>
                  </c:pt>
                  <c:pt idx="10">
                    <c:v>1.4396055360238456</c:v>
                  </c:pt>
                  <c:pt idx="11">
                    <c:v>0.12541626992496274</c:v>
                  </c:pt>
                  <c:pt idx="12">
                    <c:v>1.1326090452537489</c:v>
                  </c:pt>
                  <c:pt idx="13">
                    <c:v>3.9763078401208879E-2</c:v>
                  </c:pt>
                  <c:pt idx="14">
                    <c:v>5.7185281160964462E-2</c:v>
                  </c:pt>
                  <c:pt idx="15">
                    <c:v>5.5576178618965709E-2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'C'!$C$2:$D$17</c:f>
              <c:multiLvlStrCache>
                <c:ptCount val="16"/>
                <c:lvl>
                  <c:pt idx="0">
                    <c:v>11</c:v>
                  </c:pt>
                  <c:pt idx="1">
                    <c:v>14</c:v>
                  </c:pt>
                  <c:pt idx="2">
                    <c:v>17</c:v>
                  </c:pt>
                  <c:pt idx="3">
                    <c:v>20</c:v>
                  </c:pt>
                  <c:pt idx="4">
                    <c:v>23</c:v>
                  </c:pt>
                  <c:pt idx="5">
                    <c:v>2</c:v>
                  </c:pt>
                  <c:pt idx="6">
                    <c:v>5</c:v>
                  </c:pt>
                  <c:pt idx="7">
                    <c:v>8</c:v>
                  </c:pt>
                  <c:pt idx="8">
                    <c:v>8</c:v>
                  </c:pt>
                  <c:pt idx="9">
                    <c:v>13</c:v>
                  </c:pt>
                  <c:pt idx="10">
                    <c:v>8</c:v>
                  </c:pt>
                  <c:pt idx="11">
                    <c:v>13</c:v>
                  </c:pt>
                  <c:pt idx="12">
                    <c:v>20</c:v>
                  </c:pt>
                  <c:pt idx="13">
                    <c:v>8</c:v>
                  </c:pt>
                  <c:pt idx="14">
                    <c:v>13</c:v>
                  </c:pt>
                  <c:pt idx="15">
                    <c:v>20</c:v>
                  </c:pt>
                </c:lvl>
                <c:lvl>
                  <c:pt idx="0">
                    <c:v>186-197</c:v>
                  </c:pt>
                  <c:pt idx="8">
                    <c:v>209</c:v>
                  </c:pt>
                  <c:pt idx="10">
                    <c:v>236</c:v>
                  </c:pt>
                  <c:pt idx="13">
                    <c:v>258</c:v>
                  </c:pt>
                </c:lvl>
              </c:multiLvlStrCache>
            </c:multiLvlStrRef>
          </c:cat>
          <c:val>
            <c:numRef>
              <c:f>'C'!$AA$2:$AA$17</c:f>
              <c:numCache>
                <c:formatCode>0.0</c:formatCode>
                <c:ptCount val="16"/>
                <c:pt idx="0">
                  <c:v>1.4394</c:v>
                </c:pt>
                <c:pt idx="1">
                  <c:v>0.86849999999999994</c:v>
                </c:pt>
                <c:pt idx="2">
                  <c:v>0.93330000000000002</c:v>
                </c:pt>
                <c:pt idx="3">
                  <c:v>0.6916000000000001</c:v>
                </c:pt>
                <c:pt idx="4">
                  <c:v>0.6916000000000001</c:v>
                </c:pt>
                <c:pt idx="5">
                  <c:v>0.67155000000000009</c:v>
                </c:pt>
                <c:pt idx="6">
                  <c:v>0.78759999999999997</c:v>
                </c:pt>
                <c:pt idx="7">
                  <c:v>0.68540000000000001</c:v>
                </c:pt>
                <c:pt idx="8">
                  <c:v>1.1532</c:v>
                </c:pt>
                <c:pt idx="9">
                  <c:v>1.3556999999999999</c:v>
                </c:pt>
                <c:pt idx="10">
                  <c:v>0.50719999999999998</c:v>
                </c:pt>
                <c:pt idx="11">
                  <c:v>0.51434999999999997</c:v>
                </c:pt>
                <c:pt idx="12">
                  <c:v>0.47489999999999993</c:v>
                </c:pt>
                <c:pt idx="13">
                  <c:v>0.38599999999999995</c:v>
                </c:pt>
                <c:pt idx="14">
                  <c:v>0.43680000000000002</c:v>
                </c:pt>
                <c:pt idx="15">
                  <c:v>0.38900000000000007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0-3341-B2CE-518BBA9C118F}"/>
            </c:ext>
          </c:extLst>
        </c:ser>
        <c:ser>
          <c:idx val="2"/>
          <c:order val="1"/>
          <c:tx>
            <c:strRef>
              <c:f>'C'!$Y$1</c:f>
              <c:strCache>
                <c:ptCount val="1"/>
                <c:pt idx="0">
                  <c:v>Starch_mean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'C'!$Z$2:$Z$17</c:f>
                <c:numCache>
                  <c:formatCode>General</c:formatCode>
                  <c:ptCount val="16"/>
                  <c:pt idx="0">
                    <c:v>2.9274220741123298E-2</c:v>
                  </c:pt>
                  <c:pt idx="1">
                    <c:v>0.82449087927035325</c:v>
                  </c:pt>
                  <c:pt idx="2">
                    <c:v>4.200214280248038E-2</c:v>
                  </c:pt>
                  <c:pt idx="3">
                    <c:v>0.42749371925210777</c:v>
                  </c:pt>
                  <c:pt idx="4">
                    <c:v>0.42749371925210777</c:v>
                  </c:pt>
                  <c:pt idx="5">
                    <c:v>0.71325059411121439</c:v>
                  </c:pt>
                  <c:pt idx="6">
                    <c:v>0.18575338489513452</c:v>
                  </c:pt>
                  <c:pt idx="7">
                    <c:v>6.5474269755377928E-2</c:v>
                  </c:pt>
                  <c:pt idx="8">
                    <c:v>0.16800857120992371</c:v>
                  </c:pt>
                  <c:pt idx="9">
                    <c:v>1.7325475837621318</c:v>
                  </c:pt>
                  <c:pt idx="10">
                    <c:v>1.6824038516361048</c:v>
                  </c:pt>
                  <c:pt idx="11">
                    <c:v>0.57147480259413008</c:v>
                  </c:pt>
                  <c:pt idx="12">
                    <c:v>1.454883789173554</c:v>
                  </c:pt>
                  <c:pt idx="13">
                    <c:v>0.36426918617967124</c:v>
                  </c:pt>
                  <c:pt idx="14">
                    <c:v>0.45804580556970498</c:v>
                  </c:pt>
                  <c:pt idx="15">
                    <c:v>0.4213607955185199</c:v>
                  </c:pt>
                </c:numCache>
              </c:numRef>
            </c:plus>
            <c:minus>
              <c:numRef>
                <c:f>'C'!$Z$2:$Z$17</c:f>
                <c:numCache>
                  <c:formatCode>General</c:formatCode>
                  <c:ptCount val="16"/>
                  <c:pt idx="0">
                    <c:v>2.9274220741123298E-2</c:v>
                  </c:pt>
                  <c:pt idx="1">
                    <c:v>0.82449087927035325</c:v>
                  </c:pt>
                  <c:pt idx="2">
                    <c:v>4.200214280248038E-2</c:v>
                  </c:pt>
                  <c:pt idx="3">
                    <c:v>0.42749371925210777</c:v>
                  </c:pt>
                  <c:pt idx="4">
                    <c:v>0.42749371925210777</c:v>
                  </c:pt>
                  <c:pt idx="5">
                    <c:v>0.71325059411121439</c:v>
                  </c:pt>
                  <c:pt idx="6">
                    <c:v>0.18575338489513452</c:v>
                  </c:pt>
                  <c:pt idx="7">
                    <c:v>6.5474269755377928E-2</c:v>
                  </c:pt>
                  <c:pt idx="8">
                    <c:v>0.16800857120992371</c:v>
                  </c:pt>
                  <c:pt idx="9">
                    <c:v>1.7325475837621318</c:v>
                  </c:pt>
                  <c:pt idx="10">
                    <c:v>1.6824038516361048</c:v>
                  </c:pt>
                  <c:pt idx="11">
                    <c:v>0.57147480259413008</c:v>
                  </c:pt>
                  <c:pt idx="12">
                    <c:v>1.454883789173554</c:v>
                  </c:pt>
                  <c:pt idx="13">
                    <c:v>0.36426918617967124</c:v>
                  </c:pt>
                  <c:pt idx="14">
                    <c:v>0.45804580556970498</c:v>
                  </c:pt>
                  <c:pt idx="15">
                    <c:v>0.4213607955185199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'C'!$C$2:$D$17</c:f>
              <c:multiLvlStrCache>
                <c:ptCount val="16"/>
                <c:lvl>
                  <c:pt idx="0">
                    <c:v>11</c:v>
                  </c:pt>
                  <c:pt idx="1">
                    <c:v>14</c:v>
                  </c:pt>
                  <c:pt idx="2">
                    <c:v>17</c:v>
                  </c:pt>
                  <c:pt idx="3">
                    <c:v>20</c:v>
                  </c:pt>
                  <c:pt idx="4">
                    <c:v>23</c:v>
                  </c:pt>
                  <c:pt idx="5">
                    <c:v>2</c:v>
                  </c:pt>
                  <c:pt idx="6">
                    <c:v>5</c:v>
                  </c:pt>
                  <c:pt idx="7">
                    <c:v>8</c:v>
                  </c:pt>
                  <c:pt idx="8">
                    <c:v>8</c:v>
                  </c:pt>
                  <c:pt idx="9">
                    <c:v>13</c:v>
                  </c:pt>
                  <c:pt idx="10">
                    <c:v>8</c:v>
                  </c:pt>
                  <c:pt idx="11">
                    <c:v>13</c:v>
                  </c:pt>
                  <c:pt idx="12">
                    <c:v>20</c:v>
                  </c:pt>
                  <c:pt idx="13">
                    <c:v>8</c:v>
                  </c:pt>
                  <c:pt idx="14">
                    <c:v>13</c:v>
                  </c:pt>
                  <c:pt idx="15">
                    <c:v>20</c:v>
                  </c:pt>
                </c:lvl>
                <c:lvl>
                  <c:pt idx="0">
                    <c:v>186-197</c:v>
                  </c:pt>
                  <c:pt idx="8">
                    <c:v>209</c:v>
                  </c:pt>
                  <c:pt idx="10">
                    <c:v>236</c:v>
                  </c:pt>
                  <c:pt idx="13">
                    <c:v>258</c:v>
                  </c:pt>
                </c:lvl>
              </c:multiLvlStrCache>
            </c:multiLvlStrRef>
          </c:cat>
          <c:val>
            <c:numRef>
              <c:f>'C'!$Y$2:$Y$17</c:f>
              <c:numCache>
                <c:formatCode>0.0</c:formatCode>
                <c:ptCount val="16"/>
                <c:pt idx="0">
                  <c:v>1.8099000000000001</c:v>
                </c:pt>
                <c:pt idx="1">
                  <c:v>2.29305</c:v>
                </c:pt>
                <c:pt idx="2">
                  <c:v>5.5173000000000005</c:v>
                </c:pt>
                <c:pt idx="3">
                  <c:v>5.2838000000000003</c:v>
                </c:pt>
                <c:pt idx="4">
                  <c:v>5.2838000000000003</c:v>
                </c:pt>
                <c:pt idx="5">
                  <c:v>2.5156500000000004</c:v>
                </c:pt>
                <c:pt idx="6">
                  <c:v>0.8637999999999999</c:v>
                </c:pt>
                <c:pt idx="7">
                  <c:v>0.20279999999999998</c:v>
                </c:pt>
                <c:pt idx="8">
                  <c:v>0.74400000000000011</c:v>
                </c:pt>
                <c:pt idx="9">
                  <c:v>3.5605500000000005</c:v>
                </c:pt>
                <c:pt idx="10">
                  <c:v>4.3098000000000001</c:v>
                </c:pt>
                <c:pt idx="11">
                  <c:v>6.5038499999999999</c:v>
                </c:pt>
                <c:pt idx="12">
                  <c:v>7.6059000000000001</c:v>
                </c:pt>
                <c:pt idx="13">
                  <c:v>1.1460000000000001</c:v>
                </c:pt>
                <c:pt idx="14">
                  <c:v>0.73339999999999994</c:v>
                </c:pt>
                <c:pt idx="15">
                  <c:v>0.46539999999999998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00-3341-B2CE-518BBA9C1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0313919"/>
        <c:axId val="1420313023"/>
      </c:barChart>
      <c:lineChart>
        <c:grouping val="standard"/>
        <c:varyColors val="0"/>
        <c:ser>
          <c:idx val="0"/>
          <c:order val="2"/>
          <c:tx>
            <c:strRef>
              <c:f>'C'!$AC$1</c:f>
              <c:strCache>
                <c:ptCount val="1"/>
                <c:pt idx="0">
                  <c:v>GFS%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'C'!$C$2:$D$17</c:f>
              <c:multiLvlStrCache>
                <c:ptCount val="16"/>
                <c:lvl>
                  <c:pt idx="0">
                    <c:v>11</c:v>
                  </c:pt>
                  <c:pt idx="1">
                    <c:v>14</c:v>
                  </c:pt>
                  <c:pt idx="2">
                    <c:v>17</c:v>
                  </c:pt>
                  <c:pt idx="3">
                    <c:v>20</c:v>
                  </c:pt>
                  <c:pt idx="4">
                    <c:v>23</c:v>
                  </c:pt>
                  <c:pt idx="5">
                    <c:v>2</c:v>
                  </c:pt>
                  <c:pt idx="6">
                    <c:v>5</c:v>
                  </c:pt>
                  <c:pt idx="7">
                    <c:v>8</c:v>
                  </c:pt>
                  <c:pt idx="8">
                    <c:v>8</c:v>
                  </c:pt>
                  <c:pt idx="9">
                    <c:v>13</c:v>
                  </c:pt>
                  <c:pt idx="10">
                    <c:v>8</c:v>
                  </c:pt>
                  <c:pt idx="11">
                    <c:v>13</c:v>
                  </c:pt>
                  <c:pt idx="12">
                    <c:v>20</c:v>
                  </c:pt>
                  <c:pt idx="13">
                    <c:v>8</c:v>
                  </c:pt>
                  <c:pt idx="14">
                    <c:v>13</c:v>
                  </c:pt>
                  <c:pt idx="15">
                    <c:v>20</c:v>
                  </c:pt>
                </c:lvl>
                <c:lvl>
                  <c:pt idx="0">
                    <c:v>186-197</c:v>
                  </c:pt>
                  <c:pt idx="8">
                    <c:v>209</c:v>
                  </c:pt>
                  <c:pt idx="10">
                    <c:v>236</c:v>
                  </c:pt>
                  <c:pt idx="13">
                    <c:v>258</c:v>
                  </c:pt>
                </c:lvl>
              </c:multiLvlStrCache>
            </c:multiLvlStrRef>
          </c:cat>
          <c:val>
            <c:numRef>
              <c:f>'C'!$AC$2:$AC$17</c:f>
              <c:numCache>
                <c:formatCode>0%</c:formatCode>
                <c:ptCount val="16"/>
                <c:pt idx="0">
                  <c:v>0.44298772043209311</c:v>
                </c:pt>
                <c:pt idx="1">
                  <c:v>0.27470702661669116</c:v>
                </c:pt>
                <c:pt idx="2">
                  <c:v>0.14468421542182122</c:v>
                </c:pt>
                <c:pt idx="3">
                  <c:v>0.1157412056096663</c:v>
                </c:pt>
                <c:pt idx="4">
                  <c:v>0.1157412056096663</c:v>
                </c:pt>
                <c:pt idx="5">
                  <c:v>0.21070218373493974</c:v>
                </c:pt>
                <c:pt idx="6">
                  <c:v>0.47692866658592714</c:v>
                </c:pt>
                <c:pt idx="7">
                  <c:v>0.77167304661112368</c:v>
                </c:pt>
                <c:pt idx="8">
                  <c:v>0.60784313725490191</c:v>
                </c:pt>
                <c:pt idx="9">
                  <c:v>0.27575896262395111</c:v>
                </c:pt>
                <c:pt idx="10">
                  <c:v>0.10529375129748805</c:v>
                </c:pt>
                <c:pt idx="11">
                  <c:v>7.3288022569889713E-2</c:v>
                </c:pt>
                <c:pt idx="12">
                  <c:v>5.8768933768933759E-2</c:v>
                </c:pt>
                <c:pt idx="13">
                  <c:v>0.25195822454308092</c:v>
                </c:pt>
                <c:pt idx="14">
                  <c:v>0.37326952657665363</c:v>
                </c:pt>
                <c:pt idx="15">
                  <c:v>0.45529026217228469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00-3341-B2CE-518BBA9C1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0308735"/>
        <c:axId val="1651971327"/>
      </c:lineChart>
      <c:catAx>
        <c:axId val="142031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313023"/>
        <c:crosses val="autoZero"/>
        <c:auto val="1"/>
        <c:lblAlgn val="ctr"/>
        <c:lblOffset val="100"/>
        <c:noMultiLvlLbl val="0"/>
      </c:catAx>
      <c:valAx>
        <c:axId val="142031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313919"/>
        <c:crosses val="autoZero"/>
        <c:crossBetween val="between"/>
      </c:valAx>
      <c:valAx>
        <c:axId val="1651971327"/>
        <c:scaling>
          <c:orientation val="minMax"/>
          <c:max val="1"/>
          <c:min val="-0.25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308735"/>
        <c:crosses val="max"/>
        <c:crossBetween val="between"/>
        <c:majorUnit val="0.25"/>
      </c:valAx>
      <c:catAx>
        <c:axId val="14203087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519713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glucose!$Y$1</c:f>
              <c:strCache>
                <c:ptCount val="1"/>
                <c:pt idx="0">
                  <c:v>Starch_mean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glucose!$C$1:$D$17</c:f>
              <c:multiLvlStrCache>
                <c:ptCount val="17"/>
                <c:lvl>
                  <c:pt idx="0">
                    <c:v>hour</c:v>
                  </c:pt>
                  <c:pt idx="1">
                    <c:v>11</c:v>
                  </c:pt>
                  <c:pt idx="2">
                    <c:v>14</c:v>
                  </c:pt>
                  <c:pt idx="3">
                    <c:v>17</c:v>
                  </c:pt>
                  <c:pt idx="4">
                    <c:v>20</c:v>
                  </c:pt>
                  <c:pt idx="5">
                    <c:v>23</c:v>
                  </c:pt>
                  <c:pt idx="6">
                    <c:v>2</c:v>
                  </c:pt>
                  <c:pt idx="7">
                    <c:v>5</c:v>
                  </c:pt>
                  <c:pt idx="8">
                    <c:v>8</c:v>
                  </c:pt>
                  <c:pt idx="9">
                    <c:v>8</c:v>
                  </c:pt>
                  <c:pt idx="10">
                    <c:v>13</c:v>
                  </c:pt>
                  <c:pt idx="11">
                    <c:v>8</c:v>
                  </c:pt>
                  <c:pt idx="12">
                    <c:v>13</c:v>
                  </c:pt>
                  <c:pt idx="13">
                    <c:v>20</c:v>
                  </c:pt>
                  <c:pt idx="14">
                    <c:v>8</c:v>
                  </c:pt>
                  <c:pt idx="15">
                    <c:v>13</c:v>
                  </c:pt>
                  <c:pt idx="16">
                    <c:v>20</c:v>
                  </c:pt>
                </c:lvl>
                <c:lvl>
                  <c:pt idx="0">
                    <c:v>DOY</c:v>
                  </c:pt>
                  <c:pt idx="1">
                    <c:v>186-197</c:v>
                  </c:pt>
                  <c:pt idx="9">
                    <c:v>209</c:v>
                  </c:pt>
                  <c:pt idx="11">
                    <c:v>236</c:v>
                  </c:pt>
                  <c:pt idx="14">
                    <c:v>258</c:v>
                  </c:pt>
                </c:lvl>
              </c:multiLvlStrCache>
            </c:multiLvlStrRef>
          </c:cat>
          <c:val>
            <c:numRef>
              <c:f>glucose!$Y$2:$Y$17</c:f>
              <c:numCache>
                <c:formatCode>0.0</c:formatCode>
                <c:ptCount val="16"/>
                <c:pt idx="0">
                  <c:v>301.64999999999998</c:v>
                </c:pt>
                <c:pt idx="1">
                  <c:v>382.17500000000001</c:v>
                </c:pt>
                <c:pt idx="2">
                  <c:v>919.55</c:v>
                </c:pt>
                <c:pt idx="3">
                  <c:v>880.63333333333333</c:v>
                </c:pt>
                <c:pt idx="4">
                  <c:v>880.63333333333333</c:v>
                </c:pt>
                <c:pt idx="5">
                  <c:v>419.27500000000003</c:v>
                </c:pt>
                <c:pt idx="6">
                  <c:v>143.96666666666667</c:v>
                </c:pt>
                <c:pt idx="7">
                  <c:v>33.800000000000004</c:v>
                </c:pt>
                <c:pt idx="8">
                  <c:v>124</c:v>
                </c:pt>
                <c:pt idx="9">
                  <c:v>593.42500000000007</c:v>
                </c:pt>
                <c:pt idx="10">
                  <c:v>718.30000000000007</c:v>
                </c:pt>
                <c:pt idx="11">
                  <c:v>1083.9750000000001</c:v>
                </c:pt>
                <c:pt idx="12">
                  <c:v>1267.6500000000001</c:v>
                </c:pt>
                <c:pt idx="13">
                  <c:v>191</c:v>
                </c:pt>
                <c:pt idx="14">
                  <c:v>122.23333333333333</c:v>
                </c:pt>
                <c:pt idx="15">
                  <c:v>77.566666666666663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6-D34C-9215-0E4100BCC668}"/>
            </c:ext>
          </c:extLst>
        </c:ser>
        <c:ser>
          <c:idx val="1"/>
          <c:order val="1"/>
          <c:tx>
            <c:strRef>
              <c:f>glucose!$AA$1</c:f>
              <c:strCache>
                <c:ptCount val="1"/>
                <c:pt idx="0">
                  <c:v>GFS_mean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glucose!$AA$2:$AA$17</c:f>
              <c:numCache>
                <c:formatCode>0.0</c:formatCode>
                <c:ptCount val="16"/>
                <c:pt idx="0">
                  <c:v>239.89999999999998</c:v>
                </c:pt>
                <c:pt idx="1">
                  <c:v>144.75</c:v>
                </c:pt>
                <c:pt idx="2">
                  <c:v>155.55000000000001</c:v>
                </c:pt>
                <c:pt idx="3">
                  <c:v>115.26666666666667</c:v>
                </c:pt>
                <c:pt idx="4">
                  <c:v>115.26666666666667</c:v>
                </c:pt>
                <c:pt idx="5">
                  <c:v>111.925</c:v>
                </c:pt>
                <c:pt idx="6">
                  <c:v>131.26666666666668</c:v>
                </c:pt>
                <c:pt idx="7">
                  <c:v>114.23333333333333</c:v>
                </c:pt>
                <c:pt idx="8">
                  <c:v>192.2</c:v>
                </c:pt>
                <c:pt idx="9">
                  <c:v>225.95</c:v>
                </c:pt>
                <c:pt idx="10">
                  <c:v>84.533333333333317</c:v>
                </c:pt>
                <c:pt idx="11">
                  <c:v>85.724999999999994</c:v>
                </c:pt>
                <c:pt idx="12">
                  <c:v>79.150000000000006</c:v>
                </c:pt>
                <c:pt idx="13">
                  <c:v>64.333333333333329</c:v>
                </c:pt>
                <c:pt idx="14">
                  <c:v>72.8</c:v>
                </c:pt>
                <c:pt idx="15">
                  <c:v>64.833333333333343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6-D34C-9215-0E4100BCC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0313919"/>
        <c:axId val="1420313023"/>
      </c:barChart>
      <c:catAx>
        <c:axId val="142031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313023"/>
        <c:crosses val="autoZero"/>
        <c:auto val="1"/>
        <c:lblAlgn val="ctr"/>
        <c:lblOffset val="100"/>
        <c:noMultiLvlLbl val="0"/>
      </c:catAx>
      <c:valAx>
        <c:axId val="142031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313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glucose!$Y$1</c:f>
              <c:strCache>
                <c:ptCount val="1"/>
                <c:pt idx="0">
                  <c:v>Starch_mean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glucose!$C$1:$D$17</c:f>
              <c:multiLvlStrCache>
                <c:ptCount val="17"/>
                <c:lvl>
                  <c:pt idx="0">
                    <c:v>hour</c:v>
                  </c:pt>
                  <c:pt idx="1">
                    <c:v>11</c:v>
                  </c:pt>
                  <c:pt idx="2">
                    <c:v>14</c:v>
                  </c:pt>
                  <c:pt idx="3">
                    <c:v>17</c:v>
                  </c:pt>
                  <c:pt idx="4">
                    <c:v>20</c:v>
                  </c:pt>
                  <c:pt idx="5">
                    <c:v>23</c:v>
                  </c:pt>
                  <c:pt idx="6">
                    <c:v>2</c:v>
                  </c:pt>
                  <c:pt idx="7">
                    <c:v>5</c:v>
                  </c:pt>
                  <c:pt idx="8">
                    <c:v>8</c:v>
                  </c:pt>
                  <c:pt idx="9">
                    <c:v>8</c:v>
                  </c:pt>
                  <c:pt idx="10">
                    <c:v>13</c:v>
                  </c:pt>
                  <c:pt idx="11">
                    <c:v>8</c:v>
                  </c:pt>
                  <c:pt idx="12">
                    <c:v>13</c:v>
                  </c:pt>
                  <c:pt idx="13">
                    <c:v>20</c:v>
                  </c:pt>
                  <c:pt idx="14">
                    <c:v>8</c:v>
                  </c:pt>
                  <c:pt idx="15">
                    <c:v>13</c:v>
                  </c:pt>
                  <c:pt idx="16">
                    <c:v>20</c:v>
                  </c:pt>
                </c:lvl>
                <c:lvl>
                  <c:pt idx="0">
                    <c:v>DOY</c:v>
                  </c:pt>
                  <c:pt idx="1">
                    <c:v>186-197</c:v>
                  </c:pt>
                  <c:pt idx="9">
                    <c:v>209</c:v>
                  </c:pt>
                  <c:pt idx="11">
                    <c:v>236</c:v>
                  </c:pt>
                  <c:pt idx="14">
                    <c:v>258</c:v>
                  </c:pt>
                </c:lvl>
              </c:multiLvlStrCache>
            </c:multiLvlStrRef>
          </c:cat>
          <c:val>
            <c:numRef>
              <c:f>glucose!$Y$2:$Y$17</c:f>
              <c:numCache>
                <c:formatCode>0.0</c:formatCode>
                <c:ptCount val="16"/>
                <c:pt idx="0">
                  <c:v>301.64999999999998</c:v>
                </c:pt>
                <c:pt idx="1">
                  <c:v>382.17500000000001</c:v>
                </c:pt>
                <c:pt idx="2">
                  <c:v>919.55</c:v>
                </c:pt>
                <c:pt idx="3">
                  <c:v>880.63333333333333</c:v>
                </c:pt>
                <c:pt idx="4">
                  <c:v>880.63333333333333</c:v>
                </c:pt>
                <c:pt idx="5">
                  <c:v>419.27500000000003</c:v>
                </c:pt>
                <c:pt idx="6">
                  <c:v>143.96666666666667</c:v>
                </c:pt>
                <c:pt idx="7">
                  <c:v>33.800000000000004</c:v>
                </c:pt>
                <c:pt idx="8">
                  <c:v>124</c:v>
                </c:pt>
                <c:pt idx="9">
                  <c:v>593.42500000000007</c:v>
                </c:pt>
                <c:pt idx="10">
                  <c:v>718.30000000000007</c:v>
                </c:pt>
                <c:pt idx="11">
                  <c:v>1083.9750000000001</c:v>
                </c:pt>
                <c:pt idx="12">
                  <c:v>1267.6500000000001</c:v>
                </c:pt>
                <c:pt idx="13">
                  <c:v>191</c:v>
                </c:pt>
                <c:pt idx="14">
                  <c:v>122.23333333333333</c:v>
                </c:pt>
                <c:pt idx="15">
                  <c:v>77.566666666666663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E0-764E-B91B-2377373AAFCB}"/>
            </c:ext>
          </c:extLst>
        </c:ser>
        <c:ser>
          <c:idx val="1"/>
          <c:order val="1"/>
          <c:tx>
            <c:strRef>
              <c:f>glucose!$AA$1</c:f>
              <c:strCache>
                <c:ptCount val="1"/>
                <c:pt idx="0">
                  <c:v>GFS_mean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glucose!$AA$2:$AA$17</c:f>
              <c:numCache>
                <c:formatCode>0.0</c:formatCode>
                <c:ptCount val="16"/>
                <c:pt idx="0">
                  <c:v>239.89999999999998</c:v>
                </c:pt>
                <c:pt idx="1">
                  <c:v>144.75</c:v>
                </c:pt>
                <c:pt idx="2">
                  <c:v>155.55000000000001</c:v>
                </c:pt>
                <c:pt idx="3">
                  <c:v>115.26666666666667</c:v>
                </c:pt>
                <c:pt idx="4">
                  <c:v>115.26666666666667</c:v>
                </c:pt>
                <c:pt idx="5">
                  <c:v>111.925</c:v>
                </c:pt>
                <c:pt idx="6">
                  <c:v>131.26666666666668</c:v>
                </c:pt>
                <c:pt idx="7">
                  <c:v>114.23333333333333</c:v>
                </c:pt>
                <c:pt idx="8">
                  <c:v>192.2</c:v>
                </c:pt>
                <c:pt idx="9">
                  <c:v>225.95</c:v>
                </c:pt>
                <c:pt idx="10">
                  <c:v>84.533333333333317</c:v>
                </c:pt>
                <c:pt idx="11">
                  <c:v>85.724999999999994</c:v>
                </c:pt>
                <c:pt idx="12">
                  <c:v>79.150000000000006</c:v>
                </c:pt>
                <c:pt idx="13">
                  <c:v>64.333333333333329</c:v>
                </c:pt>
                <c:pt idx="14">
                  <c:v>72.8</c:v>
                </c:pt>
                <c:pt idx="15">
                  <c:v>64.833333333333343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E0-764E-B91B-2377373AA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0313919"/>
        <c:axId val="1420313023"/>
      </c:barChart>
      <c:catAx>
        <c:axId val="142031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313023"/>
        <c:crosses val="autoZero"/>
        <c:auto val="1"/>
        <c:lblAlgn val="ctr"/>
        <c:lblOffset val="100"/>
        <c:noMultiLvlLbl val="0"/>
      </c:catAx>
      <c:valAx>
        <c:axId val="142031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313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DM!$AC$1</c:f>
              <c:strCache>
                <c:ptCount val="1"/>
                <c:pt idx="0">
                  <c:v>GFS_mean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DM!$AD$2:$AD$17</c:f>
                <c:numCache>
                  <c:formatCode>General</c:formatCode>
                  <c:ptCount val="16"/>
                  <c:pt idx="0">
                    <c:v>59.829191169485291</c:v>
                  </c:pt>
                  <c:pt idx="1">
                    <c:v>5.3080270580391664</c:v>
                  </c:pt>
                  <c:pt idx="2">
                    <c:v>38.580512288470196</c:v>
                  </c:pt>
                  <c:pt idx="3">
                    <c:v>9.7212365554055928</c:v>
                  </c:pt>
                  <c:pt idx="4">
                    <c:v>9.7212365554055928</c:v>
                  </c:pt>
                  <c:pt idx="5">
                    <c:v>2.707116631967279</c:v>
                  </c:pt>
                  <c:pt idx="6">
                    <c:v>22.17672771066098</c:v>
                  </c:pt>
                  <c:pt idx="7">
                    <c:v>22.803004273035885</c:v>
                  </c:pt>
                  <c:pt idx="8">
                    <c:v>42.110137977102106</c:v>
                  </c:pt>
                  <c:pt idx="9">
                    <c:v>14.726433025849397</c:v>
                  </c:pt>
                  <c:pt idx="10">
                    <c:v>43.188166080715362</c:v>
                  </c:pt>
                  <c:pt idx="11">
                    <c:v>3.7624880977488844</c:v>
                  </c:pt>
                  <c:pt idx="12">
                    <c:v>33.978271357612485</c:v>
                  </c:pt>
                  <c:pt idx="13">
                    <c:v>1.1928923520362666</c:v>
                  </c:pt>
                  <c:pt idx="14">
                    <c:v>1.7155584348289368</c:v>
                  </c:pt>
                  <c:pt idx="15">
                    <c:v>1.6672853585689729</c:v>
                  </c:pt>
                </c:numCache>
              </c:numRef>
            </c:plus>
            <c:minus>
              <c:numRef>
                <c:f>DM!$AD$2:$AD$17</c:f>
                <c:numCache>
                  <c:formatCode>General</c:formatCode>
                  <c:ptCount val="16"/>
                  <c:pt idx="0">
                    <c:v>59.829191169485291</c:v>
                  </c:pt>
                  <c:pt idx="1">
                    <c:v>5.3080270580391664</c:v>
                  </c:pt>
                  <c:pt idx="2">
                    <c:v>38.580512288470196</c:v>
                  </c:pt>
                  <c:pt idx="3">
                    <c:v>9.7212365554055928</c:v>
                  </c:pt>
                  <c:pt idx="4">
                    <c:v>9.7212365554055928</c:v>
                  </c:pt>
                  <c:pt idx="5">
                    <c:v>2.707116631967279</c:v>
                  </c:pt>
                  <c:pt idx="6">
                    <c:v>22.17672771066098</c:v>
                  </c:pt>
                  <c:pt idx="7">
                    <c:v>22.803004273035885</c:v>
                  </c:pt>
                  <c:pt idx="8">
                    <c:v>42.110137977102106</c:v>
                  </c:pt>
                  <c:pt idx="9">
                    <c:v>14.726433025849397</c:v>
                  </c:pt>
                  <c:pt idx="10">
                    <c:v>43.188166080715362</c:v>
                  </c:pt>
                  <c:pt idx="11">
                    <c:v>3.7624880977488844</c:v>
                  </c:pt>
                  <c:pt idx="12">
                    <c:v>33.978271357612485</c:v>
                  </c:pt>
                  <c:pt idx="13">
                    <c:v>1.1928923520362666</c:v>
                  </c:pt>
                  <c:pt idx="14">
                    <c:v>1.7155584348289368</c:v>
                  </c:pt>
                  <c:pt idx="15">
                    <c:v>1.6672853585689729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DM!$C$2:$D$17</c:f>
              <c:multiLvlStrCache>
                <c:ptCount val="16"/>
                <c:lvl>
                  <c:pt idx="0">
                    <c:v>11</c:v>
                  </c:pt>
                  <c:pt idx="1">
                    <c:v>14</c:v>
                  </c:pt>
                  <c:pt idx="2">
                    <c:v>17</c:v>
                  </c:pt>
                  <c:pt idx="3">
                    <c:v>20</c:v>
                  </c:pt>
                  <c:pt idx="4">
                    <c:v>23</c:v>
                  </c:pt>
                  <c:pt idx="5">
                    <c:v>2</c:v>
                  </c:pt>
                  <c:pt idx="6">
                    <c:v>5</c:v>
                  </c:pt>
                  <c:pt idx="7">
                    <c:v>8</c:v>
                  </c:pt>
                  <c:pt idx="8">
                    <c:v>8</c:v>
                  </c:pt>
                  <c:pt idx="9">
                    <c:v>13</c:v>
                  </c:pt>
                  <c:pt idx="10">
                    <c:v>8</c:v>
                  </c:pt>
                  <c:pt idx="11">
                    <c:v>13</c:v>
                  </c:pt>
                  <c:pt idx="12">
                    <c:v>20</c:v>
                  </c:pt>
                  <c:pt idx="13">
                    <c:v>8</c:v>
                  </c:pt>
                  <c:pt idx="14">
                    <c:v>13</c:v>
                  </c:pt>
                  <c:pt idx="15">
                    <c:v>20</c:v>
                  </c:pt>
                </c:lvl>
                <c:lvl>
                  <c:pt idx="0">
                    <c:v>186-197</c:v>
                  </c:pt>
                  <c:pt idx="8">
                    <c:v>209</c:v>
                  </c:pt>
                  <c:pt idx="10">
                    <c:v>236</c:v>
                  </c:pt>
                  <c:pt idx="13">
                    <c:v>258</c:v>
                  </c:pt>
                </c:lvl>
              </c:multiLvlStrCache>
            </c:multiLvlStrRef>
          </c:cat>
          <c:val>
            <c:numRef>
              <c:f>DM!$AC$2:$AC$17</c:f>
              <c:numCache>
                <c:formatCode>0.0</c:formatCode>
                <c:ptCount val="16"/>
                <c:pt idx="0">
                  <c:v>43.181999999999995</c:v>
                </c:pt>
                <c:pt idx="1">
                  <c:v>26.055</c:v>
                </c:pt>
                <c:pt idx="2">
                  <c:v>27.999000000000002</c:v>
                </c:pt>
                <c:pt idx="3">
                  <c:v>20.748000000000001</c:v>
                </c:pt>
                <c:pt idx="4">
                  <c:v>20.748000000000001</c:v>
                </c:pt>
                <c:pt idx="5">
                  <c:v>20.1465</c:v>
                </c:pt>
                <c:pt idx="6">
                  <c:v>23.628</c:v>
                </c:pt>
                <c:pt idx="7">
                  <c:v>20.562000000000001</c:v>
                </c:pt>
                <c:pt idx="8">
                  <c:v>34.595999999999997</c:v>
                </c:pt>
                <c:pt idx="9">
                  <c:v>40.670999999999992</c:v>
                </c:pt>
                <c:pt idx="10">
                  <c:v>15.215999999999999</c:v>
                </c:pt>
                <c:pt idx="11">
                  <c:v>15.4305</c:v>
                </c:pt>
                <c:pt idx="12">
                  <c:v>14.246999999999998</c:v>
                </c:pt>
                <c:pt idx="13">
                  <c:v>11.579999999999998</c:v>
                </c:pt>
                <c:pt idx="14">
                  <c:v>13.103999999999999</c:v>
                </c:pt>
                <c:pt idx="15">
                  <c:v>11.67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A6-E342-B789-2E864C53D8D5}"/>
            </c:ext>
          </c:extLst>
        </c:ser>
        <c:ser>
          <c:idx val="2"/>
          <c:order val="1"/>
          <c:tx>
            <c:strRef>
              <c:f>DM!$Y$1</c:f>
              <c:strCache>
                <c:ptCount val="1"/>
                <c:pt idx="0">
                  <c:v>Starch_mean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DM!$Z$2:$Z$17</c:f>
                <c:numCache>
                  <c:formatCode>General</c:formatCode>
                  <c:ptCount val="16"/>
                  <c:pt idx="0">
                    <c:v>0.87822662223369519</c:v>
                  </c:pt>
                  <c:pt idx="1">
                    <c:v>24.734726378110597</c:v>
                  </c:pt>
                  <c:pt idx="2">
                    <c:v>1.2600642840744352</c:v>
                  </c:pt>
                  <c:pt idx="3">
                    <c:v>12.824811577563233</c:v>
                  </c:pt>
                  <c:pt idx="4">
                    <c:v>12.824811577563233</c:v>
                  </c:pt>
                  <c:pt idx="5">
                    <c:v>21.397517823336422</c:v>
                  </c:pt>
                  <c:pt idx="6">
                    <c:v>5.5726015468540364</c:v>
                  </c:pt>
                  <c:pt idx="7">
                    <c:v>1.9642280926613378</c:v>
                  </c:pt>
                  <c:pt idx="8">
                    <c:v>5.0402571362977113</c:v>
                  </c:pt>
                  <c:pt idx="9">
                    <c:v>51.976427512863935</c:v>
                  </c:pt>
                  <c:pt idx="10">
                    <c:v>50.472115549083142</c:v>
                  </c:pt>
                  <c:pt idx="11">
                    <c:v>17.144244077823906</c:v>
                  </c:pt>
                  <c:pt idx="12">
                    <c:v>43.646513675206627</c:v>
                  </c:pt>
                  <c:pt idx="13">
                    <c:v>10.928075585390138</c:v>
                  </c:pt>
                  <c:pt idx="14">
                    <c:v>13.741374167091152</c:v>
                  </c:pt>
                  <c:pt idx="15">
                    <c:v>12.640823865555598</c:v>
                  </c:pt>
                </c:numCache>
              </c:numRef>
            </c:plus>
            <c:minus>
              <c:numRef>
                <c:f>DM!$Z$2:$Z$17</c:f>
                <c:numCache>
                  <c:formatCode>General</c:formatCode>
                  <c:ptCount val="16"/>
                  <c:pt idx="0">
                    <c:v>0.87822662223369519</c:v>
                  </c:pt>
                  <c:pt idx="1">
                    <c:v>24.734726378110597</c:v>
                  </c:pt>
                  <c:pt idx="2">
                    <c:v>1.2600642840744352</c:v>
                  </c:pt>
                  <c:pt idx="3">
                    <c:v>12.824811577563233</c:v>
                  </c:pt>
                  <c:pt idx="4">
                    <c:v>12.824811577563233</c:v>
                  </c:pt>
                  <c:pt idx="5">
                    <c:v>21.397517823336422</c:v>
                  </c:pt>
                  <c:pt idx="6">
                    <c:v>5.5726015468540364</c:v>
                  </c:pt>
                  <c:pt idx="7">
                    <c:v>1.9642280926613378</c:v>
                  </c:pt>
                  <c:pt idx="8">
                    <c:v>5.0402571362977113</c:v>
                  </c:pt>
                  <c:pt idx="9">
                    <c:v>51.976427512863935</c:v>
                  </c:pt>
                  <c:pt idx="10">
                    <c:v>50.472115549083142</c:v>
                  </c:pt>
                  <c:pt idx="11">
                    <c:v>17.144244077823906</c:v>
                  </c:pt>
                  <c:pt idx="12">
                    <c:v>43.646513675206627</c:v>
                  </c:pt>
                  <c:pt idx="13">
                    <c:v>10.928075585390138</c:v>
                  </c:pt>
                  <c:pt idx="14">
                    <c:v>13.741374167091152</c:v>
                  </c:pt>
                  <c:pt idx="15">
                    <c:v>12.640823865555598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DM!$C$2:$D$17</c:f>
              <c:multiLvlStrCache>
                <c:ptCount val="16"/>
                <c:lvl>
                  <c:pt idx="0">
                    <c:v>11</c:v>
                  </c:pt>
                  <c:pt idx="1">
                    <c:v>14</c:v>
                  </c:pt>
                  <c:pt idx="2">
                    <c:v>17</c:v>
                  </c:pt>
                  <c:pt idx="3">
                    <c:v>20</c:v>
                  </c:pt>
                  <c:pt idx="4">
                    <c:v>23</c:v>
                  </c:pt>
                  <c:pt idx="5">
                    <c:v>2</c:v>
                  </c:pt>
                  <c:pt idx="6">
                    <c:v>5</c:v>
                  </c:pt>
                  <c:pt idx="7">
                    <c:v>8</c:v>
                  </c:pt>
                  <c:pt idx="8">
                    <c:v>8</c:v>
                  </c:pt>
                  <c:pt idx="9">
                    <c:v>13</c:v>
                  </c:pt>
                  <c:pt idx="10">
                    <c:v>8</c:v>
                  </c:pt>
                  <c:pt idx="11">
                    <c:v>13</c:v>
                  </c:pt>
                  <c:pt idx="12">
                    <c:v>20</c:v>
                  </c:pt>
                  <c:pt idx="13">
                    <c:v>8</c:v>
                  </c:pt>
                  <c:pt idx="14">
                    <c:v>13</c:v>
                  </c:pt>
                  <c:pt idx="15">
                    <c:v>20</c:v>
                  </c:pt>
                </c:lvl>
                <c:lvl>
                  <c:pt idx="0">
                    <c:v>186-197</c:v>
                  </c:pt>
                  <c:pt idx="8">
                    <c:v>209</c:v>
                  </c:pt>
                  <c:pt idx="10">
                    <c:v>236</c:v>
                  </c:pt>
                  <c:pt idx="13">
                    <c:v>258</c:v>
                  </c:pt>
                </c:lvl>
              </c:multiLvlStrCache>
            </c:multiLvlStrRef>
          </c:cat>
          <c:val>
            <c:numRef>
              <c:f>DM!$Y$2:$Y$17</c:f>
              <c:numCache>
                <c:formatCode>0.0</c:formatCode>
                <c:ptCount val="16"/>
                <c:pt idx="0">
                  <c:v>54.296999999999997</c:v>
                </c:pt>
                <c:pt idx="1">
                  <c:v>68.791499999999999</c:v>
                </c:pt>
                <c:pt idx="2">
                  <c:v>165.51900000000001</c:v>
                </c:pt>
                <c:pt idx="3">
                  <c:v>158.51400000000001</c:v>
                </c:pt>
                <c:pt idx="4">
                  <c:v>158.51400000000001</c:v>
                </c:pt>
                <c:pt idx="5">
                  <c:v>75.469499999999996</c:v>
                </c:pt>
                <c:pt idx="6">
                  <c:v>25.913999999999998</c:v>
                </c:pt>
                <c:pt idx="7">
                  <c:v>6.0839999999999996</c:v>
                </c:pt>
                <c:pt idx="8">
                  <c:v>22.32</c:v>
                </c:pt>
                <c:pt idx="9">
                  <c:v>106.81649999999999</c:v>
                </c:pt>
                <c:pt idx="10">
                  <c:v>129.29400000000001</c:v>
                </c:pt>
                <c:pt idx="11">
                  <c:v>195.1155</c:v>
                </c:pt>
                <c:pt idx="12">
                  <c:v>228.17700000000002</c:v>
                </c:pt>
                <c:pt idx="13">
                  <c:v>34.379999999999995</c:v>
                </c:pt>
                <c:pt idx="14">
                  <c:v>22.001999999999999</c:v>
                </c:pt>
                <c:pt idx="15">
                  <c:v>13.961999999999998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A6-E342-B789-2E864C53D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0313919"/>
        <c:axId val="1420313023"/>
      </c:barChart>
      <c:lineChart>
        <c:grouping val="standard"/>
        <c:varyColors val="0"/>
        <c:ser>
          <c:idx val="0"/>
          <c:order val="2"/>
          <c:tx>
            <c:strRef>
              <c:f>DM!$AE$1</c:f>
              <c:strCache>
                <c:ptCount val="1"/>
                <c:pt idx="0">
                  <c:v>GFS%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DM!$C$2:$D$17</c:f>
              <c:multiLvlStrCache>
                <c:ptCount val="16"/>
                <c:lvl>
                  <c:pt idx="0">
                    <c:v>11</c:v>
                  </c:pt>
                  <c:pt idx="1">
                    <c:v>14</c:v>
                  </c:pt>
                  <c:pt idx="2">
                    <c:v>17</c:v>
                  </c:pt>
                  <c:pt idx="3">
                    <c:v>20</c:v>
                  </c:pt>
                  <c:pt idx="4">
                    <c:v>23</c:v>
                  </c:pt>
                  <c:pt idx="5">
                    <c:v>2</c:v>
                  </c:pt>
                  <c:pt idx="6">
                    <c:v>5</c:v>
                  </c:pt>
                  <c:pt idx="7">
                    <c:v>8</c:v>
                  </c:pt>
                  <c:pt idx="8">
                    <c:v>8</c:v>
                  </c:pt>
                  <c:pt idx="9">
                    <c:v>13</c:v>
                  </c:pt>
                  <c:pt idx="10">
                    <c:v>8</c:v>
                  </c:pt>
                  <c:pt idx="11">
                    <c:v>13</c:v>
                  </c:pt>
                  <c:pt idx="12">
                    <c:v>20</c:v>
                  </c:pt>
                  <c:pt idx="13">
                    <c:v>8</c:v>
                  </c:pt>
                  <c:pt idx="14">
                    <c:v>13</c:v>
                  </c:pt>
                  <c:pt idx="15">
                    <c:v>20</c:v>
                  </c:pt>
                </c:lvl>
                <c:lvl>
                  <c:pt idx="0">
                    <c:v>186-197</c:v>
                  </c:pt>
                  <c:pt idx="8">
                    <c:v>209</c:v>
                  </c:pt>
                  <c:pt idx="10">
                    <c:v>236</c:v>
                  </c:pt>
                  <c:pt idx="13">
                    <c:v>258</c:v>
                  </c:pt>
                </c:lvl>
              </c:multiLvlStrCache>
            </c:multiLvlStrRef>
          </c:cat>
          <c:val>
            <c:numRef>
              <c:f>DM!$AE$2:$AE$17</c:f>
              <c:numCache>
                <c:formatCode>0%</c:formatCode>
                <c:ptCount val="16"/>
                <c:pt idx="0">
                  <c:v>0.44298772043209306</c:v>
                </c:pt>
                <c:pt idx="1">
                  <c:v>0.27470702661669122</c:v>
                </c:pt>
                <c:pt idx="2">
                  <c:v>0.14468421542182125</c:v>
                </c:pt>
                <c:pt idx="3">
                  <c:v>0.1157412056096663</c:v>
                </c:pt>
                <c:pt idx="4">
                  <c:v>0.1157412056096663</c:v>
                </c:pt>
                <c:pt idx="5">
                  <c:v>0.21070218373493976</c:v>
                </c:pt>
                <c:pt idx="6">
                  <c:v>0.47692866658592709</c:v>
                </c:pt>
                <c:pt idx="7">
                  <c:v>0.77167304661112368</c:v>
                </c:pt>
                <c:pt idx="8">
                  <c:v>0.60784313725490191</c:v>
                </c:pt>
                <c:pt idx="9">
                  <c:v>0.27575896262395116</c:v>
                </c:pt>
                <c:pt idx="10">
                  <c:v>0.10529375129748804</c:v>
                </c:pt>
                <c:pt idx="11">
                  <c:v>7.3288022569889713E-2</c:v>
                </c:pt>
                <c:pt idx="12">
                  <c:v>5.8768933768933759E-2</c:v>
                </c:pt>
                <c:pt idx="13">
                  <c:v>0.25195822454308092</c:v>
                </c:pt>
                <c:pt idx="14">
                  <c:v>0.37326952657665358</c:v>
                </c:pt>
                <c:pt idx="15">
                  <c:v>0.45529026217228469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A6-E342-B789-2E864C53D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0308735"/>
        <c:axId val="1651971327"/>
      </c:lineChart>
      <c:catAx>
        <c:axId val="142031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313023"/>
        <c:crosses val="autoZero"/>
        <c:auto val="1"/>
        <c:lblAlgn val="ctr"/>
        <c:lblOffset val="100"/>
        <c:noMultiLvlLbl val="0"/>
      </c:catAx>
      <c:valAx>
        <c:axId val="142031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  <a:r>
                  <a:rPr lang="en-US" baseline="0"/>
                  <a:t> Dry Weight (g/kg)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313919"/>
        <c:crosses val="autoZero"/>
        <c:crossBetween val="between"/>
      </c:valAx>
      <c:valAx>
        <c:axId val="1651971327"/>
        <c:scaling>
          <c:orientation val="minMax"/>
          <c:max val="1"/>
          <c:min val="-0.25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308735"/>
        <c:crosses val="max"/>
        <c:crossBetween val="between"/>
        <c:majorUnit val="0.25"/>
      </c:valAx>
      <c:catAx>
        <c:axId val="14203087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519713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50800</xdr:rowOff>
    </xdr:from>
    <xdr:to>
      <xdr:col>5</xdr:col>
      <xdr:colOff>444500</xdr:colOff>
      <xdr:row>30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EAD4FE-D086-65F4-19D6-15E676FFC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11</xdr:col>
      <xdr:colOff>444500</xdr:colOff>
      <xdr:row>30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C6E094-6C2B-2243-B42A-58B3B7479C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17</xdr:col>
      <xdr:colOff>444500</xdr:colOff>
      <xdr:row>30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C30CA4-C13D-D543-A58C-CC23FF0E9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17</xdr:row>
      <xdr:rowOff>0</xdr:rowOff>
    </xdr:from>
    <xdr:to>
      <xdr:col>17</xdr:col>
      <xdr:colOff>444500</xdr:colOff>
      <xdr:row>30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0AD4F5-9F5A-5840-A1C9-AB7CF99A2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50800</xdr:rowOff>
    </xdr:from>
    <xdr:to>
      <xdr:col>5</xdr:col>
      <xdr:colOff>444500</xdr:colOff>
      <xdr:row>30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43CE03-5C97-6C4C-84C5-1E04B32037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11</xdr:col>
      <xdr:colOff>444500</xdr:colOff>
      <xdr:row>30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3E34D7-2211-994B-9776-213B746029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20</xdr:col>
      <xdr:colOff>508000</xdr:colOff>
      <xdr:row>35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F39FC67-C1FB-754D-966B-31DCF481F2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53049-B4D8-AE45-9104-589E80333CE0}">
  <dimension ref="A1:AC17"/>
  <sheetViews>
    <sheetView workbookViewId="0">
      <selection activeCell="AD10" sqref="AD10"/>
    </sheetView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9" x14ac:dyDescent="0.2">
      <c r="A2" s="1">
        <v>37196</v>
      </c>
      <c r="B2" s="2">
        <v>0.41666666666666669</v>
      </c>
      <c r="C2">
        <v>186</v>
      </c>
      <c r="D2">
        <v>11</v>
      </c>
      <c r="E2">
        <v>186.45833300000001</v>
      </c>
      <c r="F2" s="1">
        <v>44747</v>
      </c>
      <c r="G2" t="s">
        <v>27</v>
      </c>
      <c r="H2">
        <v>237.7</v>
      </c>
      <c r="I2">
        <v>298.2</v>
      </c>
      <c r="J2">
        <v>0</v>
      </c>
      <c r="K2">
        <v>0</v>
      </c>
      <c r="L2">
        <v>300.8</v>
      </c>
      <c r="M2">
        <v>0</v>
      </c>
      <c r="N2">
        <v>242.1</v>
      </c>
      <c r="O2">
        <v>305.10000000000002</v>
      </c>
      <c r="P2">
        <v>535.9</v>
      </c>
      <c r="Q2">
        <v>0</v>
      </c>
      <c r="R2">
        <v>300.8</v>
      </c>
      <c r="S2">
        <v>547.20000000000005</v>
      </c>
      <c r="T2">
        <v>1</v>
      </c>
      <c r="U2">
        <v>0</v>
      </c>
      <c r="V2">
        <v>0</v>
      </c>
      <c r="W2">
        <v>1</v>
      </c>
      <c r="X2">
        <v>2</v>
      </c>
      <c r="Y2">
        <v>541.5</v>
      </c>
      <c r="Z2">
        <v>5.7</v>
      </c>
      <c r="AA2" s="3">
        <v>0.01</v>
      </c>
      <c r="AC2" s="4"/>
    </row>
    <row r="3" spans="1:29" x14ac:dyDescent="0.2">
      <c r="A3" s="1">
        <v>37561</v>
      </c>
      <c r="B3" s="2">
        <v>0.54166666666666663</v>
      </c>
      <c r="C3">
        <v>186</v>
      </c>
      <c r="D3">
        <v>14</v>
      </c>
      <c r="E3">
        <v>186.58333300000001</v>
      </c>
      <c r="F3" s="1">
        <v>44747</v>
      </c>
      <c r="G3" t="s">
        <v>27</v>
      </c>
      <c r="H3">
        <v>181.6</v>
      </c>
      <c r="I3">
        <v>245.1</v>
      </c>
      <c r="J3">
        <v>143.5</v>
      </c>
      <c r="K3">
        <v>573</v>
      </c>
      <c r="L3">
        <v>141.1</v>
      </c>
      <c r="M3">
        <v>354.8</v>
      </c>
      <c r="N3">
        <v>112.8</v>
      </c>
      <c r="O3">
        <v>355.8</v>
      </c>
      <c r="P3">
        <v>426.7</v>
      </c>
      <c r="Q3">
        <v>716.5</v>
      </c>
      <c r="R3">
        <v>495.8</v>
      </c>
      <c r="S3">
        <v>468.6</v>
      </c>
      <c r="T3">
        <v>1</v>
      </c>
      <c r="U3">
        <v>1</v>
      </c>
      <c r="V3">
        <v>1</v>
      </c>
      <c r="W3">
        <v>1</v>
      </c>
      <c r="X3">
        <v>4</v>
      </c>
      <c r="Y3">
        <v>526.9</v>
      </c>
      <c r="Z3">
        <v>112.2</v>
      </c>
      <c r="AA3" s="3">
        <v>0.21</v>
      </c>
      <c r="AC3" s="4"/>
    </row>
    <row r="4" spans="1:29" x14ac:dyDescent="0.2">
      <c r="A4" s="1">
        <v>37926</v>
      </c>
      <c r="B4" s="2">
        <v>0.66666666666666663</v>
      </c>
      <c r="C4">
        <v>186</v>
      </c>
      <c r="D4">
        <v>17</v>
      </c>
      <c r="E4">
        <v>186.70833300000001</v>
      </c>
      <c r="F4" s="1">
        <v>44747</v>
      </c>
      <c r="G4" t="s">
        <v>27</v>
      </c>
      <c r="H4">
        <v>140.69999999999999</v>
      </c>
      <c r="I4">
        <v>335.6</v>
      </c>
      <c r="J4">
        <v>185.6</v>
      </c>
      <c r="K4">
        <v>924.5</v>
      </c>
      <c r="L4">
        <v>121.6</v>
      </c>
      <c r="M4">
        <v>381.6</v>
      </c>
      <c r="N4">
        <v>125.5</v>
      </c>
      <c r="O4">
        <v>914.6</v>
      </c>
      <c r="P4">
        <v>476.3</v>
      </c>
      <c r="Q4">
        <v>1110</v>
      </c>
      <c r="R4">
        <v>503.1</v>
      </c>
      <c r="S4">
        <v>1040.0999999999999</v>
      </c>
      <c r="T4">
        <v>0</v>
      </c>
      <c r="U4">
        <v>1</v>
      </c>
      <c r="V4">
        <v>0</v>
      </c>
      <c r="W4">
        <v>1</v>
      </c>
      <c r="X4">
        <v>2</v>
      </c>
      <c r="Y4">
        <v>1075.0999999999999</v>
      </c>
      <c r="Z4">
        <v>35</v>
      </c>
      <c r="AA4" s="3">
        <v>0.03</v>
      </c>
      <c r="AC4" s="4"/>
    </row>
    <row r="5" spans="1:29" x14ac:dyDescent="0.2">
      <c r="A5" s="1">
        <v>38292</v>
      </c>
      <c r="B5" s="2">
        <v>0.79166666666666663</v>
      </c>
      <c r="C5">
        <v>186</v>
      </c>
      <c r="D5">
        <v>20</v>
      </c>
      <c r="E5">
        <v>186.83333300000001</v>
      </c>
      <c r="F5" s="1">
        <v>44747</v>
      </c>
      <c r="G5" t="s">
        <v>27</v>
      </c>
      <c r="H5">
        <v>114.8</v>
      </c>
      <c r="I5">
        <v>961.9</v>
      </c>
      <c r="J5">
        <v>118.4</v>
      </c>
      <c r="K5">
        <v>804.3</v>
      </c>
      <c r="L5">
        <v>112.3</v>
      </c>
      <c r="M5">
        <v>851.1</v>
      </c>
      <c r="N5">
        <v>118.7</v>
      </c>
      <c r="O5">
        <v>828.9</v>
      </c>
      <c r="P5">
        <v>1076.8</v>
      </c>
      <c r="Q5">
        <v>922.7</v>
      </c>
      <c r="R5">
        <v>963.4</v>
      </c>
      <c r="S5">
        <v>947.6</v>
      </c>
      <c r="T5">
        <v>1</v>
      </c>
      <c r="U5">
        <v>0</v>
      </c>
      <c r="V5">
        <v>1</v>
      </c>
      <c r="W5">
        <v>1</v>
      </c>
      <c r="X5">
        <v>3</v>
      </c>
      <c r="Y5">
        <v>995.9</v>
      </c>
      <c r="Z5">
        <v>57.5</v>
      </c>
      <c r="AA5" s="3">
        <v>0.06</v>
      </c>
      <c r="AC5" s="4"/>
    </row>
    <row r="6" spans="1:29" x14ac:dyDescent="0.2">
      <c r="A6" s="1">
        <v>38657</v>
      </c>
      <c r="B6" s="2">
        <v>0.91666666666666663</v>
      </c>
      <c r="C6">
        <v>186</v>
      </c>
      <c r="D6">
        <v>23</v>
      </c>
      <c r="E6">
        <v>186.95833300000001</v>
      </c>
      <c r="F6" s="1">
        <v>44747</v>
      </c>
      <c r="G6" t="s">
        <v>27</v>
      </c>
      <c r="H6">
        <v>114.8</v>
      </c>
      <c r="I6">
        <v>961.9</v>
      </c>
      <c r="J6">
        <v>118.4</v>
      </c>
      <c r="K6">
        <v>804.3</v>
      </c>
      <c r="L6">
        <v>112.3</v>
      </c>
      <c r="M6">
        <v>851.1</v>
      </c>
      <c r="N6">
        <v>118.7</v>
      </c>
      <c r="O6">
        <v>828.9</v>
      </c>
      <c r="P6">
        <v>1076.8</v>
      </c>
      <c r="Q6">
        <v>922.7</v>
      </c>
      <c r="R6">
        <v>963.4</v>
      </c>
      <c r="S6">
        <v>947.6</v>
      </c>
      <c r="T6">
        <v>1</v>
      </c>
      <c r="U6">
        <v>0</v>
      </c>
      <c r="V6">
        <v>1</v>
      </c>
      <c r="W6">
        <v>1</v>
      </c>
      <c r="X6">
        <v>3</v>
      </c>
      <c r="Y6">
        <v>995.9</v>
      </c>
      <c r="Z6">
        <v>57.5</v>
      </c>
      <c r="AA6" s="3">
        <v>0.06</v>
      </c>
      <c r="AC6" s="4"/>
    </row>
    <row r="7" spans="1:29" x14ac:dyDescent="0.2">
      <c r="A7" s="1">
        <v>39022</v>
      </c>
      <c r="B7" s="2">
        <v>4.1666666666666664E-2</v>
      </c>
      <c r="C7">
        <v>187</v>
      </c>
      <c r="D7">
        <v>2</v>
      </c>
      <c r="E7">
        <v>187.08333300000001</v>
      </c>
      <c r="F7" s="1">
        <v>44748</v>
      </c>
      <c r="G7" t="s">
        <v>28</v>
      </c>
      <c r="H7">
        <v>124.2</v>
      </c>
      <c r="I7">
        <v>305.60000000000002</v>
      </c>
      <c r="J7">
        <v>118.2</v>
      </c>
      <c r="K7">
        <v>474.6</v>
      </c>
      <c r="L7">
        <v>94.8</v>
      </c>
      <c r="M7">
        <v>559.6</v>
      </c>
      <c r="N7">
        <v>110.5</v>
      </c>
      <c r="O7">
        <v>337.3</v>
      </c>
      <c r="P7">
        <v>429.9</v>
      </c>
      <c r="Q7">
        <v>592.79999999999995</v>
      </c>
      <c r="R7">
        <v>654.29999999999995</v>
      </c>
      <c r="S7">
        <v>447.8</v>
      </c>
      <c r="T7">
        <v>1</v>
      </c>
      <c r="U7">
        <v>1</v>
      </c>
      <c r="V7">
        <v>1</v>
      </c>
      <c r="W7">
        <v>1</v>
      </c>
      <c r="X7">
        <v>4</v>
      </c>
      <c r="Y7">
        <v>531.20000000000005</v>
      </c>
      <c r="Z7">
        <v>95.1</v>
      </c>
      <c r="AA7" s="3">
        <v>0.18</v>
      </c>
      <c r="AC7" s="4"/>
    </row>
    <row r="8" spans="1:29" x14ac:dyDescent="0.2">
      <c r="A8" s="1">
        <v>39387</v>
      </c>
      <c r="B8" s="2">
        <v>0.16666666666666666</v>
      </c>
      <c r="C8">
        <v>187</v>
      </c>
      <c r="D8">
        <v>5</v>
      </c>
      <c r="E8">
        <v>187.20833300000001</v>
      </c>
      <c r="F8" s="1">
        <v>44748</v>
      </c>
      <c r="G8" t="s">
        <v>28</v>
      </c>
      <c r="H8">
        <v>125.3</v>
      </c>
      <c r="I8">
        <v>136.1</v>
      </c>
      <c r="J8">
        <v>142</v>
      </c>
      <c r="K8">
        <v>178.1</v>
      </c>
      <c r="L8">
        <v>144.6</v>
      </c>
      <c r="M8">
        <v>-5</v>
      </c>
      <c r="N8">
        <v>126.5</v>
      </c>
      <c r="O8">
        <v>117.7</v>
      </c>
      <c r="P8">
        <v>261.39999999999998</v>
      </c>
      <c r="Q8">
        <v>320.10000000000002</v>
      </c>
      <c r="R8">
        <v>139.5</v>
      </c>
      <c r="S8">
        <v>244.2</v>
      </c>
      <c r="T8">
        <v>1</v>
      </c>
      <c r="U8">
        <v>1</v>
      </c>
      <c r="V8">
        <v>0</v>
      </c>
      <c r="W8">
        <v>1</v>
      </c>
      <c r="X8">
        <v>3</v>
      </c>
      <c r="Y8">
        <v>275.2</v>
      </c>
      <c r="Z8">
        <v>32.5</v>
      </c>
      <c r="AA8" s="3">
        <v>0.12</v>
      </c>
      <c r="AC8" s="4"/>
    </row>
    <row r="9" spans="1:29" x14ac:dyDescent="0.2">
      <c r="A9" s="1">
        <v>39753</v>
      </c>
      <c r="B9" s="2">
        <v>0.29166666666666669</v>
      </c>
      <c r="C9">
        <v>187</v>
      </c>
      <c r="D9">
        <v>8</v>
      </c>
      <c r="E9">
        <v>187.33333300000001</v>
      </c>
      <c r="F9" s="1">
        <v>44748</v>
      </c>
      <c r="G9" t="s">
        <v>28</v>
      </c>
      <c r="H9">
        <v>107.9</v>
      </c>
      <c r="I9">
        <v>34.4</v>
      </c>
      <c r="J9">
        <v>119.8</v>
      </c>
      <c r="K9">
        <v>22.6</v>
      </c>
      <c r="L9">
        <v>115</v>
      </c>
      <c r="M9">
        <v>44.4</v>
      </c>
      <c r="N9">
        <v>136</v>
      </c>
      <c r="O9">
        <v>-6.4</v>
      </c>
      <c r="P9">
        <v>142.30000000000001</v>
      </c>
      <c r="Q9">
        <v>142.4</v>
      </c>
      <c r="R9">
        <v>159.30000000000001</v>
      </c>
      <c r="S9">
        <v>129.6</v>
      </c>
      <c r="T9">
        <v>1</v>
      </c>
      <c r="U9">
        <v>1</v>
      </c>
      <c r="V9">
        <v>1</v>
      </c>
      <c r="W9">
        <v>0</v>
      </c>
      <c r="X9">
        <v>3</v>
      </c>
      <c r="Y9">
        <v>148</v>
      </c>
      <c r="Z9">
        <v>8</v>
      </c>
      <c r="AA9" s="3">
        <v>0.05</v>
      </c>
      <c r="AC9" s="4"/>
    </row>
    <row r="10" spans="1:29" x14ac:dyDescent="0.2">
      <c r="A10" s="1">
        <v>37197</v>
      </c>
      <c r="B10" s="2">
        <v>0.29166666666666669</v>
      </c>
      <c r="C10">
        <v>209</v>
      </c>
      <c r="D10">
        <v>8</v>
      </c>
      <c r="E10">
        <v>209.33333300000001</v>
      </c>
      <c r="F10" s="1">
        <v>44770</v>
      </c>
      <c r="G10" t="s">
        <v>29</v>
      </c>
      <c r="H10">
        <v>172.1</v>
      </c>
      <c r="I10">
        <v>143.80000000000001</v>
      </c>
      <c r="J10">
        <v>168.2</v>
      </c>
      <c r="K10">
        <v>12.3</v>
      </c>
      <c r="L10">
        <v>159.80000000000001</v>
      </c>
      <c r="M10">
        <v>1800.9</v>
      </c>
      <c r="N10">
        <v>212.3</v>
      </c>
      <c r="O10">
        <v>104.2</v>
      </c>
      <c r="P10">
        <v>315.89999999999998</v>
      </c>
      <c r="Q10">
        <v>180.6</v>
      </c>
      <c r="R10">
        <v>1960.6</v>
      </c>
      <c r="S10">
        <v>316.5</v>
      </c>
      <c r="T10">
        <v>1</v>
      </c>
      <c r="U10">
        <v>0</v>
      </c>
      <c r="V10">
        <v>0</v>
      </c>
      <c r="W10">
        <v>1</v>
      </c>
      <c r="X10">
        <v>2</v>
      </c>
      <c r="Y10">
        <v>316.2</v>
      </c>
      <c r="Z10">
        <v>0.3</v>
      </c>
      <c r="AA10" s="3">
        <v>0</v>
      </c>
      <c r="AC10" s="4"/>
    </row>
    <row r="11" spans="1:29" x14ac:dyDescent="0.2">
      <c r="A11" s="1">
        <v>37562</v>
      </c>
      <c r="B11" s="2">
        <v>0.54166666666666663</v>
      </c>
      <c r="C11">
        <v>209</v>
      </c>
      <c r="D11">
        <v>13</v>
      </c>
      <c r="E11">
        <v>209.54166699999999</v>
      </c>
      <c r="F11" s="1">
        <v>44770</v>
      </c>
      <c r="G11" t="s">
        <v>29</v>
      </c>
      <c r="H11">
        <v>188.2</v>
      </c>
      <c r="I11">
        <v>218.3</v>
      </c>
      <c r="J11">
        <v>246.8</v>
      </c>
      <c r="K11">
        <v>719.6</v>
      </c>
      <c r="L11">
        <v>200.5</v>
      </c>
      <c r="M11">
        <v>894.7</v>
      </c>
      <c r="N11">
        <v>268.3</v>
      </c>
      <c r="O11">
        <v>541.1</v>
      </c>
      <c r="P11">
        <v>406.5</v>
      </c>
      <c r="Q11">
        <v>966.4</v>
      </c>
      <c r="R11">
        <v>1095.2</v>
      </c>
      <c r="S11">
        <v>809.3</v>
      </c>
      <c r="T11">
        <v>1</v>
      </c>
      <c r="U11">
        <v>1</v>
      </c>
      <c r="V11">
        <v>1</v>
      </c>
      <c r="W11">
        <v>1</v>
      </c>
      <c r="X11">
        <v>4</v>
      </c>
      <c r="Y11">
        <v>819.4</v>
      </c>
      <c r="Z11">
        <v>259</v>
      </c>
      <c r="AA11" s="3">
        <v>0.32</v>
      </c>
      <c r="AC11" s="4"/>
    </row>
    <row r="12" spans="1:29" x14ac:dyDescent="0.2">
      <c r="A12" s="1">
        <v>37198</v>
      </c>
      <c r="B12" s="2">
        <v>0.29166666666666669</v>
      </c>
      <c r="C12">
        <v>236</v>
      </c>
      <c r="D12">
        <v>8</v>
      </c>
      <c r="E12">
        <v>236.33333300000001</v>
      </c>
      <c r="F12" s="1">
        <v>44797</v>
      </c>
      <c r="G12" t="s">
        <v>30</v>
      </c>
      <c r="H12">
        <v>87.8</v>
      </c>
      <c r="I12">
        <v>1032.5</v>
      </c>
      <c r="J12">
        <v>83.4</v>
      </c>
      <c r="K12">
        <v>-3.9</v>
      </c>
      <c r="L12">
        <v>79.099999999999994</v>
      </c>
      <c r="M12">
        <v>628.9</v>
      </c>
      <c r="N12">
        <v>86.7</v>
      </c>
      <c r="O12">
        <v>493.5</v>
      </c>
      <c r="P12">
        <v>1120.3</v>
      </c>
      <c r="Q12">
        <v>79.400000000000006</v>
      </c>
      <c r="R12">
        <v>708</v>
      </c>
      <c r="S12">
        <v>580.20000000000005</v>
      </c>
      <c r="T12">
        <v>1</v>
      </c>
      <c r="U12">
        <v>0</v>
      </c>
      <c r="V12">
        <v>1</v>
      </c>
      <c r="W12">
        <v>1</v>
      </c>
      <c r="X12">
        <v>3</v>
      </c>
      <c r="Y12">
        <v>802.8</v>
      </c>
      <c r="Z12">
        <v>230.4</v>
      </c>
      <c r="AA12" s="3">
        <v>0.28999999999999998</v>
      </c>
      <c r="AC12" s="4"/>
    </row>
    <row r="13" spans="1:29" x14ac:dyDescent="0.2">
      <c r="A13" s="1">
        <v>37563</v>
      </c>
      <c r="B13" s="2">
        <v>0.54166666666666663</v>
      </c>
      <c r="C13">
        <v>236</v>
      </c>
      <c r="D13">
        <v>13</v>
      </c>
      <c r="E13">
        <v>236.54166699999999</v>
      </c>
      <c r="F13" s="1">
        <v>44797</v>
      </c>
      <c r="G13" t="s">
        <v>30</v>
      </c>
      <c r="H13">
        <v>87.2</v>
      </c>
      <c r="I13">
        <v>1178.8</v>
      </c>
      <c r="J13">
        <v>69.3</v>
      </c>
      <c r="K13">
        <v>1085.5</v>
      </c>
      <c r="L13">
        <v>110</v>
      </c>
      <c r="M13">
        <v>953.4</v>
      </c>
      <c r="N13">
        <v>76.400000000000006</v>
      </c>
      <c r="O13">
        <v>1118.2</v>
      </c>
      <c r="P13">
        <v>1266</v>
      </c>
      <c r="Q13">
        <v>1154.9000000000001</v>
      </c>
      <c r="R13">
        <v>1063.4000000000001</v>
      </c>
      <c r="S13">
        <v>1194.5999999999999</v>
      </c>
      <c r="T13">
        <v>1</v>
      </c>
      <c r="U13">
        <v>1</v>
      </c>
      <c r="V13">
        <v>1</v>
      </c>
      <c r="W13">
        <v>1</v>
      </c>
      <c r="X13">
        <v>4</v>
      </c>
      <c r="Y13">
        <v>1169.7</v>
      </c>
      <c r="Z13">
        <v>73.2</v>
      </c>
      <c r="AA13" s="3">
        <v>0.06</v>
      </c>
      <c r="AC13" s="4"/>
    </row>
    <row r="14" spans="1:29" x14ac:dyDescent="0.2">
      <c r="A14" s="1">
        <v>37928</v>
      </c>
      <c r="B14" s="2">
        <v>0.79166666666666663</v>
      </c>
      <c r="C14">
        <v>236</v>
      </c>
      <c r="D14">
        <v>20</v>
      </c>
      <c r="E14">
        <v>236.83333300000001</v>
      </c>
      <c r="F14" s="1">
        <v>44797</v>
      </c>
      <c r="G14" t="s">
        <v>30</v>
      </c>
      <c r="H14">
        <v>83.5</v>
      </c>
      <c r="I14">
        <v>1622.8</v>
      </c>
      <c r="J14">
        <v>86.8</v>
      </c>
      <c r="K14">
        <v>1174.5</v>
      </c>
      <c r="L14">
        <v>68.5</v>
      </c>
      <c r="M14">
        <v>1196.9000000000001</v>
      </c>
      <c r="N14">
        <v>77.8</v>
      </c>
      <c r="O14">
        <v>1076.4000000000001</v>
      </c>
      <c r="P14">
        <v>1706.2</v>
      </c>
      <c r="Q14">
        <v>1261.3</v>
      </c>
      <c r="R14">
        <v>1265.4000000000001</v>
      </c>
      <c r="S14">
        <v>1154.2</v>
      </c>
      <c r="T14">
        <v>1</v>
      </c>
      <c r="U14">
        <v>1</v>
      </c>
      <c r="V14">
        <v>1</v>
      </c>
      <c r="W14">
        <v>1</v>
      </c>
      <c r="X14">
        <v>4</v>
      </c>
      <c r="Y14">
        <v>1346.8</v>
      </c>
      <c r="Z14">
        <v>212.3</v>
      </c>
      <c r="AA14" s="3">
        <v>0.16</v>
      </c>
      <c r="AC14" s="4"/>
    </row>
    <row r="15" spans="1:29" x14ac:dyDescent="0.2">
      <c r="A15" s="1">
        <v>37199</v>
      </c>
      <c r="B15" s="2">
        <v>0.29166666666666669</v>
      </c>
      <c r="C15">
        <v>258</v>
      </c>
      <c r="D15">
        <v>8</v>
      </c>
      <c r="E15">
        <v>258.33333299999998</v>
      </c>
      <c r="F15" s="1">
        <v>44819</v>
      </c>
      <c r="G15" t="s">
        <v>31</v>
      </c>
      <c r="H15">
        <v>68.5</v>
      </c>
      <c r="I15">
        <v>233.7</v>
      </c>
      <c r="J15">
        <v>58.9</v>
      </c>
      <c r="K15">
        <v>217.8</v>
      </c>
      <c r="L15">
        <v>65.599999999999994</v>
      </c>
      <c r="M15">
        <v>121.5</v>
      </c>
      <c r="N15">
        <v>72.099999999999994</v>
      </c>
      <c r="O15">
        <v>590.70000000000005</v>
      </c>
      <c r="P15">
        <v>302.10000000000002</v>
      </c>
      <c r="Q15">
        <v>276.7</v>
      </c>
      <c r="R15">
        <v>187.2</v>
      </c>
      <c r="S15">
        <v>662.8</v>
      </c>
      <c r="T15">
        <v>1</v>
      </c>
      <c r="U15">
        <v>1</v>
      </c>
      <c r="V15">
        <v>1</v>
      </c>
      <c r="W15">
        <v>0</v>
      </c>
      <c r="X15">
        <v>3</v>
      </c>
      <c r="Y15">
        <v>255.3</v>
      </c>
      <c r="Z15">
        <v>49.3</v>
      </c>
      <c r="AA15" s="3">
        <v>0.19</v>
      </c>
      <c r="AC15" s="4"/>
    </row>
    <row r="16" spans="1:29" x14ac:dyDescent="0.2">
      <c r="A16" s="1">
        <v>37564</v>
      </c>
      <c r="B16" s="2">
        <v>0.54166666666666663</v>
      </c>
      <c r="C16">
        <v>258</v>
      </c>
      <c r="D16">
        <v>13</v>
      </c>
      <c r="E16">
        <v>258.54166700000002</v>
      </c>
      <c r="F16" s="1">
        <v>44819</v>
      </c>
      <c r="G16" t="s">
        <v>31</v>
      </c>
      <c r="H16">
        <v>51.7</v>
      </c>
      <c r="I16">
        <v>-3.6</v>
      </c>
      <c r="J16">
        <v>63.7</v>
      </c>
      <c r="K16">
        <v>208.5</v>
      </c>
      <c r="L16">
        <v>80.5</v>
      </c>
      <c r="M16">
        <v>63.4</v>
      </c>
      <c r="N16">
        <v>74.2</v>
      </c>
      <c r="O16">
        <v>94.8</v>
      </c>
      <c r="P16">
        <v>48</v>
      </c>
      <c r="Q16">
        <v>272.2</v>
      </c>
      <c r="R16">
        <v>143.9</v>
      </c>
      <c r="S16">
        <v>169</v>
      </c>
      <c r="T16">
        <v>0</v>
      </c>
      <c r="U16">
        <v>1</v>
      </c>
      <c r="V16">
        <v>1</v>
      </c>
      <c r="W16">
        <v>1</v>
      </c>
      <c r="X16">
        <v>3</v>
      </c>
      <c r="Y16">
        <v>195</v>
      </c>
      <c r="Z16">
        <v>55.5</v>
      </c>
      <c r="AA16" s="3">
        <v>0.28000000000000003</v>
      </c>
      <c r="AC16" s="4"/>
    </row>
    <row r="17" spans="1:29" x14ac:dyDescent="0.2">
      <c r="A17" s="1">
        <v>37929</v>
      </c>
      <c r="B17" s="2">
        <v>0.79166666666666663</v>
      </c>
      <c r="C17">
        <v>258</v>
      </c>
      <c r="D17">
        <v>20</v>
      </c>
      <c r="E17">
        <v>258.83333299999998</v>
      </c>
      <c r="F17" s="1">
        <v>44819</v>
      </c>
      <c r="G17" t="s">
        <v>31</v>
      </c>
      <c r="H17">
        <v>57.7</v>
      </c>
      <c r="I17">
        <v>135.6</v>
      </c>
      <c r="J17">
        <v>66.2</v>
      </c>
      <c r="K17">
        <v>471.8</v>
      </c>
      <c r="L17">
        <v>70.400000000000006</v>
      </c>
      <c r="M17">
        <v>97.6</v>
      </c>
      <c r="N17">
        <v>66.400000000000006</v>
      </c>
      <c r="O17">
        <v>-0.5</v>
      </c>
      <c r="P17">
        <v>193.3</v>
      </c>
      <c r="Q17">
        <v>538</v>
      </c>
      <c r="R17">
        <v>168.1</v>
      </c>
      <c r="S17">
        <v>65.900000000000006</v>
      </c>
      <c r="T17">
        <v>1</v>
      </c>
      <c r="U17">
        <v>0</v>
      </c>
      <c r="V17">
        <v>1</v>
      </c>
      <c r="W17">
        <v>1</v>
      </c>
      <c r="X17">
        <v>3</v>
      </c>
      <c r="Y17">
        <v>142.4</v>
      </c>
      <c r="Z17">
        <v>55.1</v>
      </c>
      <c r="AA17" s="3">
        <v>0.39</v>
      </c>
      <c r="AC17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607CB-9C39-994D-822C-D17B1ED40676}">
  <dimension ref="A1:AF17"/>
  <sheetViews>
    <sheetView tabSelected="1" topLeftCell="P1" workbookViewId="0">
      <selection activeCell="Y1" sqref="Y1:AB1048576"/>
    </sheetView>
  </sheetViews>
  <sheetFormatPr baseColWidth="10" defaultRowHeight="16" x14ac:dyDescent="0.2"/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32</v>
      </c>
      <c r="Z1" t="s">
        <v>36</v>
      </c>
      <c r="AA1" t="s">
        <v>33</v>
      </c>
      <c r="AB1" t="s">
        <v>37</v>
      </c>
      <c r="AC1" t="s">
        <v>35</v>
      </c>
      <c r="AD1" t="s">
        <v>24</v>
      </c>
      <c r="AE1" t="s">
        <v>25</v>
      </c>
      <c r="AF1" t="s">
        <v>26</v>
      </c>
    </row>
    <row r="2" spans="1:32" s="7" customFormat="1" x14ac:dyDescent="0.2">
      <c r="A2" s="5">
        <v>37196</v>
      </c>
      <c r="B2" s="6">
        <v>0.41666666666666669</v>
      </c>
      <c r="C2" s="29" t="s">
        <v>34</v>
      </c>
      <c r="D2" s="7">
        <v>11</v>
      </c>
      <c r="E2" s="7">
        <v>186.45833300000001</v>
      </c>
      <c r="F2" s="5">
        <v>44747</v>
      </c>
      <c r="G2" s="7" t="s">
        <v>27</v>
      </c>
      <c r="H2" s="7">
        <v>237.7</v>
      </c>
      <c r="I2" s="7">
        <v>298.2</v>
      </c>
      <c r="J2" s="7">
        <v>0</v>
      </c>
      <c r="K2" s="7">
        <v>0</v>
      </c>
      <c r="L2" s="7">
        <v>300.8</v>
      </c>
      <c r="M2" s="7">
        <v>0</v>
      </c>
      <c r="N2" s="7">
        <v>242.1</v>
      </c>
      <c r="O2" s="7">
        <v>305.10000000000002</v>
      </c>
      <c r="P2" s="7">
        <v>535.9</v>
      </c>
      <c r="Q2" s="7">
        <v>0</v>
      </c>
      <c r="R2" s="7">
        <v>300.8</v>
      </c>
      <c r="S2" s="7">
        <v>547.20000000000005</v>
      </c>
      <c r="T2" s="7">
        <v>1</v>
      </c>
      <c r="U2" s="7">
        <v>0</v>
      </c>
      <c r="V2" s="7">
        <v>0</v>
      </c>
      <c r="W2" s="7">
        <v>1</v>
      </c>
      <c r="X2" s="7">
        <v>2</v>
      </c>
      <c r="Y2" s="8">
        <f>(I2*T2+K2*U2+M2*V2+O2*W2)/X2</f>
        <v>301.64999999999998</v>
      </c>
      <c r="Z2" s="8">
        <f>SQRT((((I2-$Y2)^2)*T2+((K2-$Y2)^2)*U2+((M2-$Y2)^2)*V2+((O2-$Y2)^2)*W2)/(X2-1))</f>
        <v>4.879036790187202</v>
      </c>
      <c r="AA2" s="8">
        <f t="shared" ref="AA2:AA17" si="0">(H2*T2+J2*U2+L2*V2+N2*W2)/X2</f>
        <v>239.89999999999998</v>
      </c>
      <c r="AB2" s="8">
        <f t="shared" ref="AB2:AB17" si="1">SQRT((((H2-$Z2)^2)*T2+((J2-$Z2)^2)*U2+((L2-$Z2)^2)*V2+((N2-$Z2)^2)*W2)/(X2-1))</f>
        <v>332.38439538602944</v>
      </c>
      <c r="AC2" s="9">
        <f t="shared" ref="AC2:AC17" si="2">AA2/(Y2+AA2)</f>
        <v>0.44298772043209306</v>
      </c>
      <c r="AD2" s="8">
        <f t="shared" ref="AD2:AD17" si="3">Y2+AA2</f>
        <v>541.54999999999995</v>
      </c>
      <c r="AE2" s="8">
        <f t="shared" ref="AE2:AE17" si="4">SQRT((((H2+I2-$AD2)^2)*T2+((J2+K2-$AD2)^2)*U2+((L2+M2-$AD2)^2)*V2+((N2+O2-$AD2)^2)*W2)/(X2-1))</f>
        <v>7.9903066274080352</v>
      </c>
      <c r="AF2" s="20">
        <f>AE2/AD2</f>
        <v>1.4754513207290251E-2</v>
      </c>
    </row>
    <row r="3" spans="1:32" s="7" customFormat="1" x14ac:dyDescent="0.2">
      <c r="A3" s="5">
        <v>37561</v>
      </c>
      <c r="B3" s="6">
        <v>0.54166666666666663</v>
      </c>
      <c r="C3" s="29"/>
      <c r="D3" s="7">
        <v>14</v>
      </c>
      <c r="E3" s="7">
        <v>186.58333300000001</v>
      </c>
      <c r="F3" s="5">
        <v>44747</v>
      </c>
      <c r="G3" s="7" t="s">
        <v>27</v>
      </c>
      <c r="H3" s="7">
        <v>181.6</v>
      </c>
      <c r="I3" s="7">
        <v>245.1</v>
      </c>
      <c r="J3" s="7">
        <v>143.5</v>
      </c>
      <c r="K3" s="7">
        <v>573</v>
      </c>
      <c r="L3" s="7">
        <v>141.1</v>
      </c>
      <c r="M3" s="7">
        <v>354.8</v>
      </c>
      <c r="N3" s="7">
        <v>112.8</v>
      </c>
      <c r="O3" s="7">
        <v>355.8</v>
      </c>
      <c r="P3" s="7">
        <v>426.7</v>
      </c>
      <c r="Q3" s="7">
        <v>716.5</v>
      </c>
      <c r="R3" s="7">
        <v>495.8</v>
      </c>
      <c r="S3" s="7">
        <v>468.6</v>
      </c>
      <c r="T3" s="7">
        <v>1</v>
      </c>
      <c r="U3" s="7">
        <v>1</v>
      </c>
      <c r="V3" s="7">
        <v>1</v>
      </c>
      <c r="W3" s="7">
        <v>1</v>
      </c>
      <c r="X3" s="7">
        <v>4</v>
      </c>
      <c r="Y3" s="8">
        <f t="shared" ref="Y3:Y17" si="5">(I3*T3+K3*U3+M3*V3+O3*W3)/X3</f>
        <v>382.17500000000001</v>
      </c>
      <c r="Z3" s="8">
        <f t="shared" ref="Z3:Z16" si="6">SQRT((((I3-$Y3)^2)*T3+((K3-$Y3)^2)*U3+((M3-$Y3)^2)*V3+((O3-$Y3)^2)*W3)/(X3-1))</f>
        <v>137.41514654505886</v>
      </c>
      <c r="AA3" s="8">
        <f t="shared" si="0"/>
        <v>144.75</v>
      </c>
      <c r="AB3" s="8">
        <f t="shared" si="1"/>
        <v>29.489039211328716</v>
      </c>
      <c r="AC3" s="9">
        <f t="shared" si="2"/>
        <v>0.27470702661669122</v>
      </c>
      <c r="AD3" s="8">
        <f t="shared" si="3"/>
        <v>526.92499999999995</v>
      </c>
      <c r="AE3" s="8">
        <f t="shared" si="4"/>
        <v>129.5480444982993</v>
      </c>
      <c r="AF3" s="20">
        <f t="shared" ref="AF3:AF17" si="7">AE3/AD3</f>
        <v>0.24585670541025634</v>
      </c>
    </row>
    <row r="4" spans="1:32" s="7" customFormat="1" x14ac:dyDescent="0.2">
      <c r="A4" s="5">
        <v>37926</v>
      </c>
      <c r="B4" s="6">
        <v>0.66666666666666663</v>
      </c>
      <c r="C4" s="29"/>
      <c r="D4" s="7">
        <v>17</v>
      </c>
      <c r="E4" s="7">
        <v>186.70833300000001</v>
      </c>
      <c r="F4" s="5">
        <v>44747</v>
      </c>
      <c r="G4" s="7" t="s">
        <v>27</v>
      </c>
      <c r="H4" s="7">
        <v>140.69999999999999</v>
      </c>
      <c r="I4" s="7">
        <v>335.6</v>
      </c>
      <c r="J4" s="7">
        <v>185.6</v>
      </c>
      <c r="K4" s="7">
        <v>924.5</v>
      </c>
      <c r="L4" s="7">
        <v>121.6</v>
      </c>
      <c r="M4" s="7">
        <v>381.6</v>
      </c>
      <c r="N4" s="7">
        <v>125.5</v>
      </c>
      <c r="O4" s="7">
        <v>914.6</v>
      </c>
      <c r="P4" s="7">
        <v>476.3</v>
      </c>
      <c r="Q4" s="7">
        <v>1110</v>
      </c>
      <c r="R4" s="7">
        <v>503.1</v>
      </c>
      <c r="S4" s="7">
        <v>1040.0999999999999</v>
      </c>
      <c r="T4" s="7">
        <v>0</v>
      </c>
      <c r="U4" s="7">
        <v>1</v>
      </c>
      <c r="V4" s="7">
        <v>0</v>
      </c>
      <c r="W4" s="7">
        <v>1</v>
      </c>
      <c r="X4" s="7">
        <v>2</v>
      </c>
      <c r="Y4" s="8">
        <f t="shared" si="5"/>
        <v>919.55</v>
      </c>
      <c r="Z4" s="8">
        <f t="shared" si="6"/>
        <v>7.000357133746804</v>
      </c>
      <c r="AA4" s="8">
        <f t="shared" si="0"/>
        <v>155.55000000000001</v>
      </c>
      <c r="AB4" s="8">
        <f t="shared" si="1"/>
        <v>214.33617938039004</v>
      </c>
      <c r="AC4" s="9">
        <f t="shared" si="2"/>
        <v>0.14468421542182125</v>
      </c>
      <c r="AD4" s="8">
        <f t="shared" si="3"/>
        <v>1075.0999999999999</v>
      </c>
      <c r="AE4" s="8">
        <f t="shared" si="4"/>
        <v>49.497474683058329</v>
      </c>
      <c r="AF4" s="20">
        <f t="shared" si="7"/>
        <v>4.603987971635972E-2</v>
      </c>
    </row>
    <row r="5" spans="1:32" s="7" customFormat="1" x14ac:dyDescent="0.2">
      <c r="A5" s="5">
        <v>38292</v>
      </c>
      <c r="B5" s="6">
        <v>0.79166666666666663</v>
      </c>
      <c r="C5" s="29"/>
      <c r="D5" s="7">
        <v>20</v>
      </c>
      <c r="E5" s="7">
        <v>186.83333300000001</v>
      </c>
      <c r="F5" s="5">
        <v>44747</v>
      </c>
      <c r="G5" s="7" t="s">
        <v>27</v>
      </c>
      <c r="H5" s="7">
        <v>114.8</v>
      </c>
      <c r="I5" s="7">
        <v>961.9</v>
      </c>
      <c r="J5" s="7">
        <v>118.4</v>
      </c>
      <c r="K5" s="7">
        <v>804.3</v>
      </c>
      <c r="L5" s="7">
        <v>112.3</v>
      </c>
      <c r="M5" s="7">
        <v>851.1</v>
      </c>
      <c r="N5" s="7">
        <v>118.7</v>
      </c>
      <c r="O5" s="7">
        <v>828.9</v>
      </c>
      <c r="P5" s="7">
        <v>1076.8</v>
      </c>
      <c r="Q5" s="7">
        <v>922.7</v>
      </c>
      <c r="R5" s="7">
        <v>963.4</v>
      </c>
      <c r="S5" s="7">
        <v>947.6</v>
      </c>
      <c r="T5" s="7">
        <v>1</v>
      </c>
      <c r="U5" s="7">
        <v>0</v>
      </c>
      <c r="V5" s="7">
        <v>1</v>
      </c>
      <c r="W5" s="7">
        <v>1</v>
      </c>
      <c r="X5" s="7">
        <v>3</v>
      </c>
      <c r="Y5" s="8">
        <f t="shared" si="5"/>
        <v>880.63333333333333</v>
      </c>
      <c r="Z5" s="8">
        <f t="shared" si="6"/>
        <v>71.248953208684625</v>
      </c>
      <c r="AA5" s="8">
        <f t="shared" si="0"/>
        <v>115.26666666666667</v>
      </c>
      <c r="AB5" s="8">
        <f t="shared" si="1"/>
        <v>54.006869752253309</v>
      </c>
      <c r="AC5" s="9">
        <f t="shared" si="2"/>
        <v>0.1157412056096663</v>
      </c>
      <c r="AD5" s="8">
        <f t="shared" si="3"/>
        <v>995.9</v>
      </c>
      <c r="AE5" s="8">
        <f t="shared" si="4"/>
        <v>70.419386535243277</v>
      </c>
      <c r="AF5" s="20">
        <f t="shared" si="7"/>
        <v>7.0709294643280726E-2</v>
      </c>
    </row>
    <row r="6" spans="1:32" s="7" customFormat="1" x14ac:dyDescent="0.2">
      <c r="A6" s="5">
        <v>38657</v>
      </c>
      <c r="B6" s="6">
        <v>0.91666666666666663</v>
      </c>
      <c r="C6" s="29"/>
      <c r="D6" s="7">
        <v>23</v>
      </c>
      <c r="E6" s="7">
        <v>186.95833300000001</v>
      </c>
      <c r="F6" s="5">
        <v>44747</v>
      </c>
      <c r="G6" s="7" t="s">
        <v>27</v>
      </c>
      <c r="H6" s="7">
        <v>114.8</v>
      </c>
      <c r="I6" s="7">
        <v>961.9</v>
      </c>
      <c r="J6" s="7">
        <v>118.4</v>
      </c>
      <c r="K6" s="7">
        <v>804.3</v>
      </c>
      <c r="L6" s="7">
        <v>112.3</v>
      </c>
      <c r="M6" s="7">
        <v>851.1</v>
      </c>
      <c r="N6" s="7">
        <v>118.7</v>
      </c>
      <c r="O6" s="7">
        <v>828.9</v>
      </c>
      <c r="P6" s="7">
        <v>1076.8</v>
      </c>
      <c r="Q6" s="7">
        <v>922.7</v>
      </c>
      <c r="R6" s="7">
        <v>963.4</v>
      </c>
      <c r="S6" s="7">
        <v>947.6</v>
      </c>
      <c r="T6" s="7">
        <v>1</v>
      </c>
      <c r="U6" s="7">
        <v>0</v>
      </c>
      <c r="V6" s="7">
        <v>1</v>
      </c>
      <c r="W6" s="7">
        <v>1</v>
      </c>
      <c r="X6" s="7">
        <v>3</v>
      </c>
      <c r="Y6" s="8">
        <f t="shared" si="5"/>
        <v>880.63333333333333</v>
      </c>
      <c r="Z6" s="8">
        <f t="shared" si="6"/>
        <v>71.248953208684625</v>
      </c>
      <c r="AA6" s="8">
        <f t="shared" si="0"/>
        <v>115.26666666666667</v>
      </c>
      <c r="AB6" s="8">
        <f t="shared" si="1"/>
        <v>54.006869752253309</v>
      </c>
      <c r="AC6" s="9">
        <f t="shared" si="2"/>
        <v>0.1157412056096663</v>
      </c>
      <c r="AD6" s="8">
        <f t="shared" si="3"/>
        <v>995.9</v>
      </c>
      <c r="AE6" s="8">
        <f t="shared" si="4"/>
        <v>70.419386535243277</v>
      </c>
      <c r="AF6" s="20">
        <f t="shared" si="7"/>
        <v>7.0709294643280726E-2</v>
      </c>
    </row>
    <row r="7" spans="1:32" s="7" customFormat="1" x14ac:dyDescent="0.2">
      <c r="A7" s="5">
        <v>39022</v>
      </c>
      <c r="B7" s="6">
        <v>4.1666666666666664E-2</v>
      </c>
      <c r="C7" s="29"/>
      <c r="D7" s="7">
        <v>2</v>
      </c>
      <c r="E7" s="7">
        <v>187.08333300000001</v>
      </c>
      <c r="F7" s="5">
        <v>44748</v>
      </c>
      <c r="G7" s="7" t="s">
        <v>28</v>
      </c>
      <c r="H7" s="7">
        <v>124.2</v>
      </c>
      <c r="I7" s="7">
        <v>305.60000000000002</v>
      </c>
      <c r="J7" s="7">
        <v>118.2</v>
      </c>
      <c r="K7" s="7">
        <v>474.6</v>
      </c>
      <c r="L7" s="7">
        <v>94.8</v>
      </c>
      <c r="M7" s="7">
        <v>559.6</v>
      </c>
      <c r="N7" s="7">
        <v>110.5</v>
      </c>
      <c r="O7" s="7">
        <v>337.3</v>
      </c>
      <c r="P7" s="7">
        <v>429.9</v>
      </c>
      <c r="Q7" s="7">
        <v>592.79999999999995</v>
      </c>
      <c r="R7" s="7">
        <v>654.29999999999995</v>
      </c>
      <c r="S7" s="7">
        <v>447.8</v>
      </c>
      <c r="T7" s="7">
        <v>1</v>
      </c>
      <c r="U7" s="7">
        <v>1</v>
      </c>
      <c r="V7" s="7">
        <v>1</v>
      </c>
      <c r="W7" s="7">
        <v>1</v>
      </c>
      <c r="X7" s="7">
        <v>4</v>
      </c>
      <c r="Y7" s="8">
        <f t="shared" si="5"/>
        <v>419.27500000000003</v>
      </c>
      <c r="Z7" s="8">
        <f t="shared" si="6"/>
        <v>118.87509901853571</v>
      </c>
      <c r="AA7" s="8">
        <f t="shared" si="0"/>
        <v>111.925</v>
      </c>
      <c r="AB7" s="8">
        <f t="shared" si="1"/>
        <v>15.039536844262681</v>
      </c>
      <c r="AC7" s="9">
        <f t="shared" si="2"/>
        <v>0.21070218373493974</v>
      </c>
      <c r="AD7" s="8">
        <f t="shared" si="3"/>
        <v>531.20000000000005</v>
      </c>
      <c r="AE7" s="8">
        <f t="shared" si="4"/>
        <v>109.86403718536228</v>
      </c>
      <c r="AF7" s="20">
        <f t="shared" si="7"/>
        <v>0.206822359159191</v>
      </c>
    </row>
    <row r="8" spans="1:32" s="7" customFormat="1" x14ac:dyDescent="0.2">
      <c r="A8" s="5">
        <v>39387</v>
      </c>
      <c r="B8" s="6">
        <v>0.16666666666666666</v>
      </c>
      <c r="C8" s="29"/>
      <c r="D8" s="7">
        <v>5</v>
      </c>
      <c r="E8" s="7">
        <v>187.20833300000001</v>
      </c>
      <c r="F8" s="5">
        <v>44748</v>
      </c>
      <c r="G8" s="7" t="s">
        <v>28</v>
      </c>
      <c r="H8" s="7">
        <v>125.3</v>
      </c>
      <c r="I8" s="7">
        <v>136.1</v>
      </c>
      <c r="J8" s="7">
        <v>142</v>
      </c>
      <c r="K8" s="7">
        <v>178.1</v>
      </c>
      <c r="L8" s="7">
        <v>144.6</v>
      </c>
      <c r="M8" s="7">
        <v>-5</v>
      </c>
      <c r="N8" s="7">
        <v>126.5</v>
      </c>
      <c r="O8" s="7">
        <v>117.7</v>
      </c>
      <c r="P8" s="7">
        <v>261.39999999999998</v>
      </c>
      <c r="Q8" s="7">
        <v>320.10000000000002</v>
      </c>
      <c r="R8" s="7">
        <v>139.5</v>
      </c>
      <c r="S8" s="7">
        <v>244.2</v>
      </c>
      <c r="T8" s="7">
        <v>1</v>
      </c>
      <c r="U8" s="7">
        <v>1</v>
      </c>
      <c r="V8" s="7">
        <v>0</v>
      </c>
      <c r="W8" s="7">
        <v>1</v>
      </c>
      <c r="X8" s="7">
        <v>3</v>
      </c>
      <c r="Y8" s="8">
        <f t="shared" si="5"/>
        <v>143.96666666666667</v>
      </c>
      <c r="Z8" s="8">
        <f t="shared" si="6"/>
        <v>30.958897482522421</v>
      </c>
      <c r="AA8" s="8">
        <f t="shared" si="0"/>
        <v>131.26666666666668</v>
      </c>
      <c r="AB8" s="8">
        <f t="shared" si="1"/>
        <v>123.20404283700545</v>
      </c>
      <c r="AC8" s="9">
        <f t="shared" si="2"/>
        <v>0.47692866658592714</v>
      </c>
      <c r="AD8" s="8">
        <f t="shared" si="3"/>
        <v>275.23333333333335</v>
      </c>
      <c r="AE8" s="8">
        <f t="shared" si="4"/>
        <v>39.796021576702053</v>
      </c>
      <c r="AF8" s="20">
        <f t="shared" si="7"/>
        <v>0.14459012320468226</v>
      </c>
    </row>
    <row r="9" spans="1:32" s="7" customFormat="1" x14ac:dyDescent="0.2">
      <c r="A9" s="5">
        <v>39753</v>
      </c>
      <c r="B9" s="6">
        <v>0.29166666666666669</v>
      </c>
      <c r="C9" s="29"/>
      <c r="D9" s="7">
        <v>8</v>
      </c>
      <c r="E9" s="7">
        <v>187.33333300000001</v>
      </c>
      <c r="F9" s="5">
        <v>44748</v>
      </c>
      <c r="G9" s="7" t="s">
        <v>28</v>
      </c>
      <c r="H9" s="7">
        <v>107.9</v>
      </c>
      <c r="I9" s="7">
        <v>34.4</v>
      </c>
      <c r="J9" s="7">
        <v>119.8</v>
      </c>
      <c r="K9" s="7">
        <v>22.6</v>
      </c>
      <c r="L9" s="7">
        <v>115</v>
      </c>
      <c r="M9" s="7">
        <v>44.4</v>
      </c>
      <c r="N9" s="7">
        <v>136</v>
      </c>
      <c r="O9" s="7">
        <v>-6.4</v>
      </c>
      <c r="P9" s="7">
        <v>142.30000000000001</v>
      </c>
      <c r="Q9" s="7">
        <v>142.4</v>
      </c>
      <c r="R9" s="7">
        <v>159.30000000000001</v>
      </c>
      <c r="S9" s="7">
        <v>129.6</v>
      </c>
      <c r="T9" s="7">
        <v>1</v>
      </c>
      <c r="U9" s="7">
        <v>1</v>
      </c>
      <c r="V9" s="7">
        <v>1</v>
      </c>
      <c r="W9" s="7">
        <v>0</v>
      </c>
      <c r="X9" s="7">
        <v>3</v>
      </c>
      <c r="Y9" s="8">
        <f t="shared" si="5"/>
        <v>33.800000000000004</v>
      </c>
      <c r="Z9" s="8">
        <f t="shared" si="6"/>
        <v>10.912378292562991</v>
      </c>
      <c r="AA9" s="8">
        <f t="shared" si="0"/>
        <v>114.23333333333333</v>
      </c>
      <c r="AB9" s="8">
        <f t="shared" si="1"/>
        <v>126.68335707242157</v>
      </c>
      <c r="AC9" s="9">
        <f t="shared" si="2"/>
        <v>0.77167304661112368</v>
      </c>
      <c r="AD9" s="8">
        <f t="shared" si="3"/>
        <v>148.03333333333333</v>
      </c>
      <c r="AE9" s="8">
        <f t="shared" si="4"/>
        <v>9.843949072061136</v>
      </c>
      <c r="AF9" s="20">
        <f t="shared" si="7"/>
        <v>6.6498192335472661E-2</v>
      </c>
    </row>
    <row r="10" spans="1:32" s="12" customFormat="1" x14ac:dyDescent="0.2">
      <c r="A10" s="10">
        <v>37197</v>
      </c>
      <c r="B10" s="11">
        <v>0.29166666666666669</v>
      </c>
      <c r="C10" s="30">
        <v>209</v>
      </c>
      <c r="D10" s="12">
        <v>8</v>
      </c>
      <c r="E10" s="12">
        <v>209.33333300000001</v>
      </c>
      <c r="F10" s="10">
        <v>44770</v>
      </c>
      <c r="G10" s="12" t="s">
        <v>29</v>
      </c>
      <c r="H10" s="12">
        <v>172.1</v>
      </c>
      <c r="I10" s="12">
        <v>143.80000000000001</v>
      </c>
      <c r="J10" s="12">
        <v>168.2</v>
      </c>
      <c r="K10" s="12">
        <v>12.3</v>
      </c>
      <c r="L10" s="12">
        <v>159.80000000000001</v>
      </c>
      <c r="M10" s="12">
        <v>1800.9</v>
      </c>
      <c r="N10" s="12">
        <v>212.3</v>
      </c>
      <c r="O10" s="12">
        <v>104.2</v>
      </c>
      <c r="P10" s="12">
        <v>315.89999999999998</v>
      </c>
      <c r="Q10" s="12">
        <v>180.6</v>
      </c>
      <c r="R10" s="12">
        <v>1960.6</v>
      </c>
      <c r="S10" s="12">
        <v>316.5</v>
      </c>
      <c r="T10" s="12">
        <v>1</v>
      </c>
      <c r="U10" s="12">
        <v>0</v>
      </c>
      <c r="V10" s="12">
        <v>0</v>
      </c>
      <c r="W10" s="12">
        <v>1</v>
      </c>
      <c r="X10" s="12">
        <v>2</v>
      </c>
      <c r="Y10" s="13">
        <f t="shared" si="5"/>
        <v>124</v>
      </c>
      <c r="Z10" s="13">
        <f t="shared" si="6"/>
        <v>28.001428534987287</v>
      </c>
      <c r="AA10" s="13">
        <f t="shared" si="0"/>
        <v>192.2</v>
      </c>
      <c r="AB10" s="13">
        <f t="shared" si="1"/>
        <v>233.94521098390061</v>
      </c>
      <c r="AC10" s="14">
        <f t="shared" si="2"/>
        <v>0.60784313725490191</v>
      </c>
      <c r="AD10" s="13">
        <f t="shared" si="3"/>
        <v>316.2</v>
      </c>
      <c r="AE10" s="13">
        <f t="shared" si="4"/>
        <v>0.42426406871194461</v>
      </c>
      <c r="AF10" s="21">
        <f t="shared" si="7"/>
        <v>1.3417585980769911E-3</v>
      </c>
    </row>
    <row r="11" spans="1:32" s="12" customFormat="1" x14ac:dyDescent="0.2">
      <c r="A11" s="10">
        <v>37562</v>
      </c>
      <c r="B11" s="11">
        <v>0.54166666666666663</v>
      </c>
      <c r="C11" s="30"/>
      <c r="D11" s="12">
        <v>13</v>
      </c>
      <c r="E11" s="12">
        <v>209.54166699999999</v>
      </c>
      <c r="F11" s="10">
        <v>44770</v>
      </c>
      <c r="G11" s="12" t="s">
        <v>29</v>
      </c>
      <c r="H11" s="12">
        <v>188.2</v>
      </c>
      <c r="I11" s="12">
        <v>218.3</v>
      </c>
      <c r="J11" s="12">
        <v>246.8</v>
      </c>
      <c r="K11" s="12">
        <v>719.6</v>
      </c>
      <c r="L11" s="12">
        <v>200.5</v>
      </c>
      <c r="M11" s="12">
        <v>894.7</v>
      </c>
      <c r="N11" s="12">
        <v>268.3</v>
      </c>
      <c r="O11" s="12">
        <v>541.1</v>
      </c>
      <c r="P11" s="12">
        <v>406.5</v>
      </c>
      <c r="Q11" s="12">
        <v>966.4</v>
      </c>
      <c r="R11" s="12">
        <v>1095.2</v>
      </c>
      <c r="S11" s="12">
        <v>809.3</v>
      </c>
      <c r="T11" s="12">
        <v>1</v>
      </c>
      <c r="U11" s="12">
        <v>1</v>
      </c>
      <c r="V11" s="12">
        <v>1</v>
      </c>
      <c r="W11" s="12">
        <v>1</v>
      </c>
      <c r="X11" s="12">
        <v>4</v>
      </c>
      <c r="Y11" s="13">
        <f t="shared" si="5"/>
        <v>593.42500000000007</v>
      </c>
      <c r="Z11" s="13">
        <f t="shared" si="6"/>
        <v>288.75793062702189</v>
      </c>
      <c r="AA11" s="13">
        <f t="shared" si="0"/>
        <v>225.95</v>
      </c>
      <c r="AB11" s="13">
        <f t="shared" si="1"/>
        <v>81.81351681027445</v>
      </c>
      <c r="AC11" s="14">
        <f t="shared" si="2"/>
        <v>0.27575896262395116</v>
      </c>
      <c r="AD11" s="13">
        <f t="shared" si="3"/>
        <v>819.375</v>
      </c>
      <c r="AE11" s="13">
        <f t="shared" si="4"/>
        <v>299.03235471544997</v>
      </c>
      <c r="AF11" s="21">
        <f t="shared" si="7"/>
        <v>0.36495176776866511</v>
      </c>
    </row>
    <row r="12" spans="1:32" s="24" customFormat="1" x14ac:dyDescent="0.2">
      <c r="A12" s="22">
        <v>37198</v>
      </c>
      <c r="B12" s="23">
        <v>0.29166666666666669</v>
      </c>
      <c r="C12" s="31">
        <v>236</v>
      </c>
      <c r="D12" s="24">
        <v>8</v>
      </c>
      <c r="E12" s="24">
        <v>236.33333300000001</v>
      </c>
      <c r="F12" s="22">
        <v>44797</v>
      </c>
      <c r="G12" s="24" t="s">
        <v>30</v>
      </c>
      <c r="H12" s="24">
        <v>87.8</v>
      </c>
      <c r="I12" s="24">
        <v>1032.5</v>
      </c>
      <c r="J12" s="24">
        <v>83.4</v>
      </c>
      <c r="K12" s="24">
        <v>-3.9</v>
      </c>
      <c r="L12" s="24">
        <v>79.099999999999994</v>
      </c>
      <c r="M12" s="24">
        <v>628.9</v>
      </c>
      <c r="N12" s="24">
        <v>86.7</v>
      </c>
      <c r="O12" s="24">
        <v>493.5</v>
      </c>
      <c r="P12" s="24">
        <v>1120.3</v>
      </c>
      <c r="Q12" s="24">
        <v>79.400000000000006</v>
      </c>
      <c r="R12" s="24">
        <v>708</v>
      </c>
      <c r="S12" s="24">
        <v>580.20000000000005</v>
      </c>
      <c r="T12" s="24">
        <v>1</v>
      </c>
      <c r="U12" s="24">
        <v>0</v>
      </c>
      <c r="V12" s="24">
        <v>1</v>
      </c>
      <c r="W12" s="24">
        <v>1</v>
      </c>
      <c r="X12" s="24">
        <v>3</v>
      </c>
      <c r="Y12" s="25">
        <f t="shared" si="5"/>
        <v>718.30000000000007</v>
      </c>
      <c r="Z12" s="25">
        <f t="shared" si="6"/>
        <v>280.40064193935081</v>
      </c>
      <c r="AA12" s="25">
        <f t="shared" si="0"/>
        <v>84.533333333333317</v>
      </c>
      <c r="AB12" s="25">
        <f t="shared" si="1"/>
        <v>239.93425600397427</v>
      </c>
      <c r="AC12" s="26">
        <f t="shared" si="2"/>
        <v>0.10529375129748804</v>
      </c>
      <c r="AD12" s="25">
        <f t="shared" si="3"/>
        <v>802.83333333333337</v>
      </c>
      <c r="AE12" s="25">
        <f t="shared" si="4"/>
        <v>282.26233070201437</v>
      </c>
      <c r="AF12" s="27">
        <f t="shared" si="7"/>
        <v>0.35158272456136314</v>
      </c>
    </row>
    <row r="13" spans="1:32" s="24" customFormat="1" x14ac:dyDescent="0.2">
      <c r="A13" s="22">
        <v>37563</v>
      </c>
      <c r="B13" s="23">
        <v>0.54166666666666663</v>
      </c>
      <c r="C13" s="31"/>
      <c r="D13" s="24">
        <v>13</v>
      </c>
      <c r="E13" s="24">
        <v>236.54166699999999</v>
      </c>
      <c r="F13" s="22">
        <v>44797</v>
      </c>
      <c r="G13" s="24" t="s">
        <v>30</v>
      </c>
      <c r="H13" s="24">
        <v>87.2</v>
      </c>
      <c r="I13" s="24">
        <v>1178.8</v>
      </c>
      <c r="J13" s="24">
        <v>69.3</v>
      </c>
      <c r="K13" s="24">
        <v>1085.5</v>
      </c>
      <c r="L13" s="24">
        <v>110</v>
      </c>
      <c r="M13" s="24">
        <v>953.4</v>
      </c>
      <c r="N13" s="24">
        <v>76.400000000000006</v>
      </c>
      <c r="O13" s="24">
        <v>1118.2</v>
      </c>
      <c r="P13" s="24">
        <v>1266</v>
      </c>
      <c r="Q13" s="24">
        <v>1154.9000000000001</v>
      </c>
      <c r="R13" s="24">
        <v>1063.4000000000001</v>
      </c>
      <c r="S13" s="24">
        <v>1194.5999999999999</v>
      </c>
      <c r="T13" s="24">
        <v>1</v>
      </c>
      <c r="U13" s="24">
        <v>1</v>
      </c>
      <c r="V13" s="24">
        <v>1</v>
      </c>
      <c r="W13" s="24">
        <v>1</v>
      </c>
      <c r="X13" s="24">
        <v>4</v>
      </c>
      <c r="Y13" s="25">
        <f t="shared" si="5"/>
        <v>1083.9750000000001</v>
      </c>
      <c r="Z13" s="25">
        <f t="shared" si="6"/>
        <v>95.245800432355011</v>
      </c>
      <c r="AA13" s="25">
        <f t="shared" si="0"/>
        <v>85.724999999999994</v>
      </c>
      <c r="AB13" s="25">
        <f t="shared" si="1"/>
        <v>20.902711654160452</v>
      </c>
      <c r="AC13" s="26">
        <f t="shared" si="2"/>
        <v>7.3288022569889713E-2</v>
      </c>
      <c r="AD13" s="25">
        <f t="shared" si="3"/>
        <v>1169.7</v>
      </c>
      <c r="AE13" s="25">
        <f t="shared" si="4"/>
        <v>84.489447072795215</v>
      </c>
      <c r="AF13" s="27">
        <f t="shared" si="7"/>
        <v>7.2231723581085081E-2</v>
      </c>
    </row>
    <row r="14" spans="1:32" s="24" customFormat="1" x14ac:dyDescent="0.2">
      <c r="A14" s="22">
        <v>37928</v>
      </c>
      <c r="B14" s="23">
        <v>0.79166666666666663</v>
      </c>
      <c r="C14" s="31"/>
      <c r="D14" s="24">
        <v>20</v>
      </c>
      <c r="E14" s="24">
        <v>236.83333300000001</v>
      </c>
      <c r="F14" s="22">
        <v>44797</v>
      </c>
      <c r="G14" s="24" t="s">
        <v>30</v>
      </c>
      <c r="H14" s="24">
        <v>83.5</v>
      </c>
      <c r="I14" s="24">
        <v>1622.8</v>
      </c>
      <c r="J14" s="24">
        <v>86.8</v>
      </c>
      <c r="K14" s="24">
        <v>1174.5</v>
      </c>
      <c r="L14" s="24">
        <v>68.5</v>
      </c>
      <c r="M14" s="24">
        <v>1196.9000000000001</v>
      </c>
      <c r="N14" s="24">
        <v>77.8</v>
      </c>
      <c r="O14" s="24">
        <v>1076.4000000000001</v>
      </c>
      <c r="P14" s="24">
        <v>1706.2</v>
      </c>
      <c r="Q14" s="24">
        <v>1261.3</v>
      </c>
      <c r="R14" s="24">
        <v>1265.4000000000001</v>
      </c>
      <c r="S14" s="24">
        <v>1154.2</v>
      </c>
      <c r="T14" s="24">
        <v>1</v>
      </c>
      <c r="U14" s="24">
        <v>1</v>
      </c>
      <c r="V14" s="24">
        <v>1</v>
      </c>
      <c r="W14" s="24">
        <v>1</v>
      </c>
      <c r="X14" s="24">
        <v>4</v>
      </c>
      <c r="Y14" s="25">
        <f t="shared" si="5"/>
        <v>1267.6500000000001</v>
      </c>
      <c r="Z14" s="25">
        <f t="shared" si="6"/>
        <v>242.4806315289257</v>
      </c>
      <c r="AA14" s="25">
        <f t="shared" si="0"/>
        <v>79.150000000000006</v>
      </c>
      <c r="AB14" s="25">
        <f t="shared" si="1"/>
        <v>188.76817420895819</v>
      </c>
      <c r="AC14" s="26">
        <f t="shared" si="2"/>
        <v>5.8768933768933766E-2</v>
      </c>
      <c r="AD14" s="25">
        <f t="shared" si="3"/>
        <v>1346.8000000000002</v>
      </c>
      <c r="AE14" s="25">
        <f t="shared" si="4"/>
        <v>245.13344665032281</v>
      </c>
      <c r="AF14" s="27">
        <f t="shared" si="7"/>
        <v>0.1820117661496308</v>
      </c>
    </row>
    <row r="15" spans="1:32" s="17" customFormat="1" x14ac:dyDescent="0.2">
      <c r="A15" s="15">
        <v>37199</v>
      </c>
      <c r="B15" s="16">
        <v>0.29166666666666669</v>
      </c>
      <c r="C15" s="32">
        <v>258</v>
      </c>
      <c r="D15" s="17">
        <v>8</v>
      </c>
      <c r="E15" s="17">
        <v>258.33333299999998</v>
      </c>
      <c r="F15" s="15">
        <v>44819</v>
      </c>
      <c r="G15" s="17" t="s">
        <v>31</v>
      </c>
      <c r="H15" s="17">
        <v>68.5</v>
      </c>
      <c r="I15" s="17">
        <v>233.7</v>
      </c>
      <c r="J15" s="17">
        <v>58.9</v>
      </c>
      <c r="K15" s="17">
        <v>217.8</v>
      </c>
      <c r="L15" s="17">
        <v>65.599999999999994</v>
      </c>
      <c r="M15" s="17">
        <v>121.5</v>
      </c>
      <c r="N15" s="17">
        <v>72.099999999999994</v>
      </c>
      <c r="O15" s="17">
        <v>590.70000000000005</v>
      </c>
      <c r="P15" s="17">
        <v>302.10000000000002</v>
      </c>
      <c r="Q15" s="17">
        <v>276.7</v>
      </c>
      <c r="R15" s="17">
        <v>187.2</v>
      </c>
      <c r="S15" s="17">
        <v>662.8</v>
      </c>
      <c r="T15" s="17">
        <v>1</v>
      </c>
      <c r="U15" s="17">
        <v>1</v>
      </c>
      <c r="V15" s="17">
        <v>1</v>
      </c>
      <c r="W15" s="17">
        <v>0</v>
      </c>
      <c r="X15" s="17">
        <v>3</v>
      </c>
      <c r="Y15" s="18">
        <f t="shared" si="5"/>
        <v>191</v>
      </c>
      <c r="Z15" s="18">
        <f t="shared" si="6"/>
        <v>60.711531029945206</v>
      </c>
      <c r="AA15" s="18">
        <f t="shared" si="0"/>
        <v>64.333333333333329</v>
      </c>
      <c r="AB15" s="18">
        <f t="shared" si="1"/>
        <v>6.6271797335348177</v>
      </c>
      <c r="AC15" s="19">
        <f t="shared" si="2"/>
        <v>0.25195822454308092</v>
      </c>
      <c r="AD15" s="18">
        <f t="shared" si="3"/>
        <v>255.33333333333331</v>
      </c>
      <c r="AE15" s="18">
        <f t="shared" si="4"/>
        <v>60.451661129644179</v>
      </c>
      <c r="AF15" s="28">
        <f t="shared" si="7"/>
        <v>0.2367558529881626</v>
      </c>
    </row>
    <row r="16" spans="1:32" s="17" customFormat="1" x14ac:dyDescent="0.2">
      <c r="A16" s="15">
        <v>37564</v>
      </c>
      <c r="B16" s="16">
        <v>0.54166666666666663</v>
      </c>
      <c r="C16" s="32"/>
      <c r="D16" s="17">
        <v>13</v>
      </c>
      <c r="E16" s="17">
        <v>258.54166700000002</v>
      </c>
      <c r="F16" s="15">
        <v>44819</v>
      </c>
      <c r="G16" s="17" t="s">
        <v>31</v>
      </c>
      <c r="H16" s="17">
        <v>51.7</v>
      </c>
      <c r="I16" s="17">
        <v>-3.6</v>
      </c>
      <c r="J16" s="17">
        <v>63.7</v>
      </c>
      <c r="K16" s="17">
        <v>208.5</v>
      </c>
      <c r="L16" s="17">
        <v>80.5</v>
      </c>
      <c r="M16" s="17">
        <v>63.4</v>
      </c>
      <c r="N16" s="17">
        <v>74.2</v>
      </c>
      <c r="O16" s="17">
        <v>94.8</v>
      </c>
      <c r="P16" s="17">
        <v>48</v>
      </c>
      <c r="Q16" s="17">
        <v>272.2</v>
      </c>
      <c r="R16" s="17">
        <v>143.9</v>
      </c>
      <c r="S16" s="17">
        <v>169</v>
      </c>
      <c r="T16" s="17">
        <v>0</v>
      </c>
      <c r="U16" s="17">
        <v>1</v>
      </c>
      <c r="V16" s="17">
        <v>1</v>
      </c>
      <c r="W16" s="17">
        <v>1</v>
      </c>
      <c r="X16" s="17">
        <v>3</v>
      </c>
      <c r="Y16" s="18">
        <f t="shared" si="5"/>
        <v>122.23333333333333</v>
      </c>
      <c r="Z16" s="18">
        <f t="shared" si="6"/>
        <v>76.34096759495084</v>
      </c>
      <c r="AA16" s="18">
        <f t="shared" si="0"/>
        <v>72.8</v>
      </c>
      <c r="AB16" s="18">
        <f t="shared" si="1"/>
        <v>9.5308801934940863</v>
      </c>
      <c r="AC16" s="19">
        <f t="shared" si="2"/>
        <v>0.37326952657665358</v>
      </c>
      <c r="AD16" s="18">
        <f t="shared" si="3"/>
        <v>195.03333333333333</v>
      </c>
      <c r="AE16" s="18">
        <f t="shared" si="4"/>
        <v>67.996495007708546</v>
      </c>
      <c r="AF16" s="28">
        <f t="shared" si="7"/>
        <v>0.34864037775273565</v>
      </c>
    </row>
    <row r="17" spans="1:32" s="17" customFormat="1" x14ac:dyDescent="0.2">
      <c r="A17" s="15">
        <v>37929</v>
      </c>
      <c r="B17" s="16">
        <v>0.79166666666666663</v>
      </c>
      <c r="C17" s="32"/>
      <c r="D17" s="17">
        <v>20</v>
      </c>
      <c r="E17" s="17">
        <v>258.83333299999998</v>
      </c>
      <c r="F17" s="15">
        <v>44819</v>
      </c>
      <c r="G17" s="17" t="s">
        <v>31</v>
      </c>
      <c r="H17" s="17">
        <v>57.7</v>
      </c>
      <c r="I17" s="17">
        <v>135.6</v>
      </c>
      <c r="J17" s="17">
        <v>66.2</v>
      </c>
      <c r="K17" s="17">
        <v>471.8</v>
      </c>
      <c r="L17" s="17">
        <v>70.400000000000006</v>
      </c>
      <c r="M17" s="17">
        <v>97.6</v>
      </c>
      <c r="N17" s="17">
        <v>66.400000000000006</v>
      </c>
      <c r="O17" s="17">
        <v>-0.5</v>
      </c>
      <c r="P17" s="17">
        <v>193.3</v>
      </c>
      <c r="Q17" s="17">
        <v>538</v>
      </c>
      <c r="R17" s="17">
        <v>168.1</v>
      </c>
      <c r="S17" s="17">
        <v>65.900000000000006</v>
      </c>
      <c r="T17" s="17">
        <v>1</v>
      </c>
      <c r="U17" s="17">
        <v>0</v>
      </c>
      <c r="V17" s="17">
        <v>1</v>
      </c>
      <c r="W17" s="17">
        <v>1</v>
      </c>
      <c r="X17" s="17">
        <v>3</v>
      </c>
      <c r="Y17" s="18">
        <f t="shared" si="5"/>
        <v>77.566666666666663</v>
      </c>
      <c r="Z17" s="18">
        <f>SQRT((((I17-$Y17)^2)*T17+((K17-$Y17)^2)*U17+((M17-$Y17)^2)*V17+((O17-$Y17)^2)*W17)/(X17-1))</f>
        <v>70.226799253086654</v>
      </c>
      <c r="AA17" s="18">
        <f t="shared" si="0"/>
        <v>64.833333333333343</v>
      </c>
      <c r="AB17" s="18">
        <f t="shared" si="1"/>
        <v>9.2626964364942932</v>
      </c>
      <c r="AC17" s="19">
        <f t="shared" si="2"/>
        <v>0.45529026217228469</v>
      </c>
      <c r="AD17" s="18">
        <f t="shared" si="3"/>
        <v>142.4</v>
      </c>
      <c r="AE17" s="18">
        <f t="shared" si="4"/>
        <v>67.447831692353162</v>
      </c>
      <c r="AF17" s="28">
        <f t="shared" si="7"/>
        <v>0.47365050345753623</v>
      </c>
    </row>
  </sheetData>
  <mergeCells count="4">
    <mergeCell ref="C2:C9"/>
    <mergeCell ref="C10:C11"/>
    <mergeCell ref="C12:C14"/>
    <mergeCell ref="C15:C1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5968C-F606-6A41-9D9C-86DFC7E4FA78}">
  <dimension ref="A1:AH18"/>
  <sheetViews>
    <sheetView topLeftCell="X1" workbookViewId="0">
      <selection activeCell="AH1" sqref="AH1:AH18"/>
    </sheetView>
  </sheetViews>
  <sheetFormatPr baseColWidth="10" defaultRowHeight="16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32</v>
      </c>
      <c r="Z1" t="s">
        <v>36</v>
      </c>
      <c r="AA1" t="s">
        <v>33</v>
      </c>
      <c r="AB1" t="s">
        <v>37</v>
      </c>
      <c r="AC1" t="s">
        <v>35</v>
      </c>
      <c r="AD1" t="s">
        <v>24</v>
      </c>
      <c r="AE1" t="s">
        <v>25</v>
      </c>
      <c r="AF1" t="s">
        <v>26</v>
      </c>
      <c r="AH1" t="s">
        <v>38</v>
      </c>
    </row>
    <row r="2" spans="1:34" s="7" customFormat="1" x14ac:dyDescent="0.2">
      <c r="A2" s="5">
        <v>37196</v>
      </c>
      <c r="B2" s="6">
        <v>0.41666666666666669</v>
      </c>
      <c r="C2" s="29" t="s">
        <v>34</v>
      </c>
      <c r="D2" s="7">
        <v>11</v>
      </c>
      <c r="E2" s="7">
        <v>186.45833300000001</v>
      </c>
      <c r="F2" s="5">
        <v>44747</v>
      </c>
      <c r="G2" s="7" t="s">
        <v>27</v>
      </c>
      <c r="H2" s="7">
        <f>glucose!H2*6/1000</f>
        <v>1.4261999999999999</v>
      </c>
      <c r="I2" s="7">
        <f>glucose!I2*6/1000</f>
        <v>1.7891999999999999</v>
      </c>
      <c r="J2" s="7">
        <f>glucose!J2*6/1000</f>
        <v>0</v>
      </c>
      <c r="K2" s="7">
        <f>glucose!K2*6/1000</f>
        <v>0</v>
      </c>
      <c r="L2" s="7">
        <f>glucose!L2*6/1000</f>
        <v>1.8048000000000002</v>
      </c>
      <c r="M2" s="7">
        <f>glucose!M2*6/1000</f>
        <v>0</v>
      </c>
      <c r="N2" s="7">
        <f>glucose!N2*6/1000</f>
        <v>1.4525999999999999</v>
      </c>
      <c r="O2" s="7">
        <f>glucose!O2*6/1000</f>
        <v>1.8306000000000002</v>
      </c>
      <c r="P2" s="7">
        <f>glucose!P2*6/1000</f>
        <v>3.2153999999999998</v>
      </c>
      <c r="Q2" s="7">
        <f>glucose!Q2*6/1000</f>
        <v>0</v>
      </c>
      <c r="R2" s="7">
        <f>glucose!R2*6/1000</f>
        <v>1.8048000000000002</v>
      </c>
      <c r="S2" s="7">
        <f>glucose!S2*6/1000</f>
        <v>3.2832000000000003</v>
      </c>
      <c r="T2" s="7">
        <v>1</v>
      </c>
      <c r="U2" s="7">
        <v>0</v>
      </c>
      <c r="V2" s="7">
        <v>0</v>
      </c>
      <c r="W2" s="7">
        <v>1</v>
      </c>
      <c r="X2" s="7">
        <v>2</v>
      </c>
      <c r="Y2" s="8">
        <f>(I2*T2+K2*U2+M2*V2+O2*W2)/X2</f>
        <v>1.8099000000000001</v>
      </c>
      <c r="Z2" s="8">
        <f>SQRT((((I2-$Y2)^2)*T2+((K2-$Y2)^2)*U2+((M2-$Y2)^2)*V2+((O2-$Y2)^2)*W2)/(X2-1))</f>
        <v>2.9274220741123298E-2</v>
      </c>
      <c r="AA2" s="8">
        <f t="shared" ref="AA2:AA17" si="0">(H2*T2+J2*U2+L2*V2+N2*W2)/X2</f>
        <v>1.4394</v>
      </c>
      <c r="AB2" s="8">
        <f t="shared" ref="AB2:AB17" si="1">SQRT((((H2-$Z2)^2)*T2+((J2-$Z2)^2)*U2+((L2-$Z2)^2)*V2+((N2-$Z2)^2)*W2)/(X2-1))</f>
        <v>1.9943063723161765</v>
      </c>
      <c r="AC2" s="9">
        <f t="shared" ref="AC2:AC17" si="2">AA2/(Y2+AA2)</f>
        <v>0.44298772043209311</v>
      </c>
      <c r="AD2" s="8">
        <f t="shared" ref="AD2:AD17" si="3">Y2+AA2</f>
        <v>3.2492999999999999</v>
      </c>
      <c r="AE2" s="8">
        <f>SQRT((((H2+I2-$AD2)^2)*T2+((J2+K2-$AD2)^2)*U2+((L2+M2-$AD2)^2)*V2+((N2+O2-$AD2)^2)*W2)/(X2-1))</f>
        <v>4.7941839764447977E-2</v>
      </c>
      <c r="AF2" s="20">
        <f>AE2/AD2</f>
        <v>1.4754513207290178E-2</v>
      </c>
      <c r="AH2" s="8">
        <f>((H2+I2-$AD$18)^2)*T2+((J2+K2-$AD$18)^2)*U2+((L2+M2-$AD$18)^2)*V2+((N2+O2-$AD$18)^2)*W2</f>
        <v>0.61229996445312518</v>
      </c>
    </row>
    <row r="3" spans="1:34" s="7" customFormat="1" x14ac:dyDescent="0.2">
      <c r="A3" s="5">
        <v>37561</v>
      </c>
      <c r="B3" s="6">
        <v>0.54166666666666663</v>
      </c>
      <c r="C3" s="29"/>
      <c r="D3" s="7">
        <v>14</v>
      </c>
      <c r="E3" s="7">
        <v>186.58333300000001</v>
      </c>
      <c r="F3" s="5">
        <v>44747</v>
      </c>
      <c r="G3" s="7" t="s">
        <v>27</v>
      </c>
      <c r="H3" s="7">
        <f>glucose!H3*6/1000</f>
        <v>1.0895999999999999</v>
      </c>
      <c r="I3" s="7">
        <f>glucose!I3*6/1000</f>
        <v>1.4705999999999999</v>
      </c>
      <c r="J3" s="7">
        <f>glucose!J3*6/1000</f>
        <v>0.86099999999999999</v>
      </c>
      <c r="K3" s="7">
        <f>glucose!K3*6/1000</f>
        <v>3.4380000000000002</v>
      </c>
      <c r="L3" s="7">
        <f>glucose!L3*6/1000</f>
        <v>0.84659999999999991</v>
      </c>
      <c r="M3" s="7">
        <f>glucose!M3*6/1000</f>
        <v>2.1288</v>
      </c>
      <c r="N3" s="7">
        <f>glucose!N3*6/1000</f>
        <v>0.67679999999999996</v>
      </c>
      <c r="O3" s="7">
        <f>glucose!O3*6/1000</f>
        <v>2.1348000000000003</v>
      </c>
      <c r="P3" s="7">
        <f>glucose!P3*6/1000</f>
        <v>2.5602</v>
      </c>
      <c r="Q3" s="7">
        <f>glucose!Q3*6/1000</f>
        <v>4.2990000000000004</v>
      </c>
      <c r="R3" s="7">
        <f>glucose!R3*6/1000</f>
        <v>2.9748000000000001</v>
      </c>
      <c r="S3" s="7">
        <f>glucose!S3*6/1000</f>
        <v>2.8116000000000003</v>
      </c>
      <c r="T3" s="7">
        <v>1</v>
      </c>
      <c r="U3" s="7">
        <v>1</v>
      </c>
      <c r="V3" s="7">
        <v>1</v>
      </c>
      <c r="W3" s="7">
        <v>1</v>
      </c>
      <c r="X3" s="7">
        <v>4</v>
      </c>
      <c r="Y3" s="8">
        <f t="shared" ref="Y3:Y17" si="4">(I3*T3+K3*U3+M3*V3+O3*W3)/X3</f>
        <v>2.29305</v>
      </c>
      <c r="Z3" s="8">
        <f t="shared" ref="Z3:Z16" si="5">SQRT((((I3-$Y3)^2)*T3+((K3-$Y3)^2)*U3+((M3-$Y3)^2)*V3+((O3-$Y3)^2)*W3)/(X3-1))</f>
        <v>0.82449087927035325</v>
      </c>
      <c r="AA3" s="8">
        <f t="shared" si="0"/>
        <v>0.86849999999999994</v>
      </c>
      <c r="AB3" s="8">
        <f t="shared" si="1"/>
        <v>0.17693423526797222</v>
      </c>
      <c r="AC3" s="9">
        <f t="shared" si="2"/>
        <v>0.27470702661669116</v>
      </c>
      <c r="AD3" s="8">
        <f t="shared" si="3"/>
        <v>3.1615500000000001</v>
      </c>
      <c r="AE3" s="8">
        <f t="shared" ref="AE3:AE17" si="6">SQRT((((H3+I3-$AD3)^2)*T3+((J3+K3-$AD3)^2)*U3+((L3+M3-$AD3)^2)*V3+((N3+O3-$AD3)^2)*W3)/(X3-1))</f>
        <v>0.77728826698979592</v>
      </c>
      <c r="AF3" s="20">
        <f t="shared" ref="AF3:AF17" si="7">AE3/AD3</f>
        <v>0.24585670541025634</v>
      </c>
      <c r="AH3" s="8">
        <f t="shared" ref="AH3:AH17" si="8">((H3+I3-$AD$18)^2)*T3+((J3+K3-$AD$18)^2)*U3+((L3+M3-$AD$18)^2)*V3+((N3+O3-$AD$18)^2)*W3</f>
        <v>3.4510271514062492</v>
      </c>
    </row>
    <row r="4" spans="1:34" s="7" customFormat="1" x14ac:dyDescent="0.2">
      <c r="A4" s="5">
        <v>37926</v>
      </c>
      <c r="B4" s="6">
        <v>0.66666666666666663</v>
      </c>
      <c r="C4" s="29"/>
      <c r="D4" s="7">
        <v>17</v>
      </c>
      <c r="E4" s="7">
        <v>186.70833300000001</v>
      </c>
      <c r="F4" s="5">
        <v>44747</v>
      </c>
      <c r="G4" s="7" t="s">
        <v>27</v>
      </c>
      <c r="H4" s="7">
        <f>glucose!H4*6/1000</f>
        <v>0.84419999999999995</v>
      </c>
      <c r="I4" s="7">
        <f>glucose!I4*6/1000</f>
        <v>2.0136000000000003</v>
      </c>
      <c r="J4" s="7">
        <f>glucose!J4*6/1000</f>
        <v>1.1135999999999999</v>
      </c>
      <c r="K4" s="7">
        <f>glucose!K4*6/1000</f>
        <v>5.5469999999999997</v>
      </c>
      <c r="L4" s="7">
        <f>glucose!L4*6/1000</f>
        <v>0.72959999999999992</v>
      </c>
      <c r="M4" s="7">
        <f>glucose!M4*6/1000</f>
        <v>2.2896000000000005</v>
      </c>
      <c r="N4" s="7">
        <f>glucose!N4*6/1000</f>
        <v>0.753</v>
      </c>
      <c r="O4" s="7">
        <f>glucose!O4*6/1000</f>
        <v>5.4876000000000005</v>
      </c>
      <c r="P4" s="7">
        <f>glucose!P4*6/1000</f>
        <v>2.8578000000000001</v>
      </c>
      <c r="Q4" s="7">
        <f>glucose!Q4*6/1000</f>
        <v>6.66</v>
      </c>
      <c r="R4" s="7">
        <f>glucose!R4*6/1000</f>
        <v>3.0186000000000002</v>
      </c>
      <c r="S4" s="7">
        <f>glucose!S4*6/1000</f>
        <v>6.2405999999999997</v>
      </c>
      <c r="T4" s="7">
        <v>0</v>
      </c>
      <c r="U4" s="7">
        <v>1</v>
      </c>
      <c r="V4" s="7">
        <v>0</v>
      </c>
      <c r="W4" s="7">
        <v>1</v>
      </c>
      <c r="X4" s="7">
        <v>2</v>
      </c>
      <c r="Y4" s="8">
        <f t="shared" si="4"/>
        <v>5.5173000000000005</v>
      </c>
      <c r="Z4" s="8">
        <f t="shared" si="5"/>
        <v>4.200214280248038E-2</v>
      </c>
      <c r="AA4" s="8">
        <f t="shared" si="0"/>
        <v>0.93330000000000002</v>
      </c>
      <c r="AB4" s="8">
        <f t="shared" si="1"/>
        <v>1.2860170762823409</v>
      </c>
      <c r="AC4" s="9">
        <f t="shared" si="2"/>
        <v>0.14468421542182122</v>
      </c>
      <c r="AD4" s="8">
        <f t="shared" si="3"/>
        <v>6.4506000000000006</v>
      </c>
      <c r="AE4" s="8">
        <f t="shared" si="6"/>
        <v>0.2969848480983493</v>
      </c>
      <c r="AF4" s="20">
        <f t="shared" si="7"/>
        <v>4.6039879716359602E-2</v>
      </c>
      <c r="AH4" s="8">
        <f t="shared" si="8"/>
        <v>14.122933126953127</v>
      </c>
    </row>
    <row r="5" spans="1:34" s="7" customFormat="1" x14ac:dyDescent="0.2">
      <c r="A5" s="5">
        <v>38292</v>
      </c>
      <c r="B5" s="6">
        <v>0.79166666666666663</v>
      </c>
      <c r="C5" s="29"/>
      <c r="D5" s="7">
        <v>20</v>
      </c>
      <c r="E5" s="7">
        <v>186.83333300000001</v>
      </c>
      <c r="F5" s="5">
        <v>44747</v>
      </c>
      <c r="G5" s="7" t="s">
        <v>27</v>
      </c>
      <c r="H5" s="7">
        <f>glucose!H5*6/1000</f>
        <v>0.68879999999999997</v>
      </c>
      <c r="I5" s="7">
        <f>glucose!I5*6/1000</f>
        <v>5.7713999999999999</v>
      </c>
      <c r="J5" s="7">
        <f>glucose!J5*6/1000</f>
        <v>0.71040000000000014</v>
      </c>
      <c r="K5" s="7">
        <f>glucose!K5*6/1000</f>
        <v>4.8257999999999992</v>
      </c>
      <c r="L5" s="7">
        <f>glucose!L5*6/1000</f>
        <v>0.67379999999999995</v>
      </c>
      <c r="M5" s="7">
        <f>glucose!M5*6/1000</f>
        <v>5.1066000000000003</v>
      </c>
      <c r="N5" s="7">
        <f>glucose!N5*6/1000</f>
        <v>0.71220000000000006</v>
      </c>
      <c r="O5" s="7">
        <f>glucose!O5*6/1000</f>
        <v>4.9733999999999998</v>
      </c>
      <c r="P5" s="7">
        <f>glucose!P5*6/1000</f>
        <v>6.460799999999999</v>
      </c>
      <c r="Q5" s="7">
        <f>glucose!Q5*6/1000</f>
        <v>5.5362000000000009</v>
      </c>
      <c r="R5" s="7">
        <f>glucose!R5*6/1000</f>
        <v>5.7803999999999993</v>
      </c>
      <c r="S5" s="7">
        <f>glucose!S5*6/1000</f>
        <v>5.6856</v>
      </c>
      <c r="T5" s="7">
        <v>1</v>
      </c>
      <c r="U5" s="7">
        <v>0</v>
      </c>
      <c r="V5" s="7">
        <v>1</v>
      </c>
      <c r="W5" s="7">
        <v>1</v>
      </c>
      <c r="X5" s="7">
        <v>3</v>
      </c>
      <c r="Y5" s="8">
        <f t="shared" si="4"/>
        <v>5.2838000000000003</v>
      </c>
      <c r="Z5" s="8">
        <f t="shared" si="5"/>
        <v>0.42749371925210777</v>
      </c>
      <c r="AA5" s="8">
        <f t="shared" si="0"/>
        <v>0.6916000000000001</v>
      </c>
      <c r="AB5" s="8">
        <f t="shared" si="1"/>
        <v>0.3240412185135198</v>
      </c>
      <c r="AC5" s="9">
        <f t="shared" si="2"/>
        <v>0.1157412056096663</v>
      </c>
      <c r="AD5" s="8">
        <f t="shared" si="3"/>
        <v>5.9754000000000005</v>
      </c>
      <c r="AE5" s="8">
        <f t="shared" si="6"/>
        <v>0.42251631921145921</v>
      </c>
      <c r="AF5" s="20">
        <f t="shared" si="7"/>
        <v>7.0709294643280643E-2</v>
      </c>
      <c r="AH5" s="8">
        <f t="shared" si="8"/>
        <v>14.533666990429687</v>
      </c>
    </row>
    <row r="6" spans="1:34" s="7" customFormat="1" x14ac:dyDescent="0.2">
      <c r="A6" s="5">
        <v>38657</v>
      </c>
      <c r="B6" s="6">
        <v>0.91666666666666663</v>
      </c>
      <c r="C6" s="29"/>
      <c r="D6" s="7">
        <v>23</v>
      </c>
      <c r="E6" s="7">
        <v>186.95833300000001</v>
      </c>
      <c r="F6" s="5">
        <v>44747</v>
      </c>
      <c r="G6" s="7" t="s">
        <v>27</v>
      </c>
      <c r="H6" s="7">
        <f>glucose!H6*6/1000</f>
        <v>0.68879999999999997</v>
      </c>
      <c r="I6" s="7">
        <f>glucose!I6*6/1000</f>
        <v>5.7713999999999999</v>
      </c>
      <c r="J6" s="7">
        <f>glucose!J6*6/1000</f>
        <v>0.71040000000000014</v>
      </c>
      <c r="K6" s="7">
        <f>glucose!K6*6/1000</f>
        <v>4.8257999999999992</v>
      </c>
      <c r="L6" s="7">
        <f>glucose!L6*6/1000</f>
        <v>0.67379999999999995</v>
      </c>
      <c r="M6" s="7">
        <f>glucose!M6*6/1000</f>
        <v>5.1066000000000003</v>
      </c>
      <c r="N6" s="7">
        <f>glucose!N6*6/1000</f>
        <v>0.71220000000000006</v>
      </c>
      <c r="O6" s="7">
        <f>glucose!O6*6/1000</f>
        <v>4.9733999999999998</v>
      </c>
      <c r="P6" s="7">
        <f>glucose!P6*6/1000</f>
        <v>6.460799999999999</v>
      </c>
      <c r="Q6" s="7">
        <f>glucose!Q6*6/1000</f>
        <v>5.5362000000000009</v>
      </c>
      <c r="R6" s="7">
        <f>glucose!R6*6/1000</f>
        <v>5.7803999999999993</v>
      </c>
      <c r="S6" s="7">
        <f>glucose!S6*6/1000</f>
        <v>5.6856</v>
      </c>
      <c r="T6" s="7">
        <v>1</v>
      </c>
      <c r="U6" s="7">
        <v>0</v>
      </c>
      <c r="V6" s="7">
        <v>1</v>
      </c>
      <c r="W6" s="7">
        <v>1</v>
      </c>
      <c r="X6" s="7">
        <v>3</v>
      </c>
      <c r="Y6" s="8">
        <f t="shared" si="4"/>
        <v>5.2838000000000003</v>
      </c>
      <c r="Z6" s="8">
        <f t="shared" si="5"/>
        <v>0.42749371925210777</v>
      </c>
      <c r="AA6" s="8">
        <f t="shared" si="0"/>
        <v>0.6916000000000001</v>
      </c>
      <c r="AB6" s="8">
        <f t="shared" si="1"/>
        <v>0.3240412185135198</v>
      </c>
      <c r="AC6" s="9">
        <f t="shared" si="2"/>
        <v>0.1157412056096663</v>
      </c>
      <c r="AD6" s="8">
        <f t="shared" si="3"/>
        <v>5.9754000000000005</v>
      </c>
      <c r="AE6" s="8">
        <f t="shared" si="6"/>
        <v>0.42251631921145921</v>
      </c>
      <c r="AF6" s="20">
        <f t="shared" si="7"/>
        <v>7.0709294643280643E-2</v>
      </c>
      <c r="AH6" s="8">
        <f t="shared" si="8"/>
        <v>14.533666990429687</v>
      </c>
    </row>
    <row r="7" spans="1:34" s="7" customFormat="1" x14ac:dyDescent="0.2">
      <c r="A7" s="5">
        <v>39022</v>
      </c>
      <c r="B7" s="6">
        <v>4.1666666666666664E-2</v>
      </c>
      <c r="C7" s="29"/>
      <c r="D7" s="7">
        <v>2</v>
      </c>
      <c r="E7" s="7">
        <v>187.08333300000001</v>
      </c>
      <c r="F7" s="5">
        <v>44748</v>
      </c>
      <c r="G7" s="7" t="s">
        <v>28</v>
      </c>
      <c r="H7" s="7">
        <f>glucose!H7*6/1000</f>
        <v>0.74520000000000008</v>
      </c>
      <c r="I7" s="7">
        <f>glucose!I7*6/1000</f>
        <v>1.8336000000000001</v>
      </c>
      <c r="J7" s="7">
        <f>glucose!J7*6/1000</f>
        <v>0.70920000000000005</v>
      </c>
      <c r="K7" s="7">
        <f>glucose!K7*6/1000</f>
        <v>2.8476000000000004</v>
      </c>
      <c r="L7" s="7">
        <f>glucose!L7*6/1000</f>
        <v>0.56879999999999997</v>
      </c>
      <c r="M7" s="7">
        <f>glucose!M7*6/1000</f>
        <v>3.3576000000000006</v>
      </c>
      <c r="N7" s="7">
        <f>glucose!N7*6/1000</f>
        <v>0.66300000000000003</v>
      </c>
      <c r="O7" s="7">
        <f>glucose!O7*6/1000</f>
        <v>2.0238</v>
      </c>
      <c r="P7" s="7">
        <f>glucose!P7*6/1000</f>
        <v>2.5793999999999997</v>
      </c>
      <c r="Q7" s="7">
        <f>glucose!Q7*6/1000</f>
        <v>3.5567999999999995</v>
      </c>
      <c r="R7" s="7">
        <f>glucose!R7*6/1000</f>
        <v>3.9257999999999997</v>
      </c>
      <c r="S7" s="7">
        <f>glucose!S7*6/1000</f>
        <v>2.6868000000000003</v>
      </c>
      <c r="T7" s="7">
        <v>1</v>
      </c>
      <c r="U7" s="7">
        <v>1</v>
      </c>
      <c r="V7" s="7">
        <v>1</v>
      </c>
      <c r="W7" s="7">
        <v>1</v>
      </c>
      <c r="X7" s="7">
        <v>4</v>
      </c>
      <c r="Y7" s="8">
        <f t="shared" si="4"/>
        <v>2.5156500000000004</v>
      </c>
      <c r="Z7" s="8">
        <f t="shared" si="5"/>
        <v>0.71325059411121439</v>
      </c>
      <c r="AA7" s="8">
        <f t="shared" si="0"/>
        <v>0.67155000000000009</v>
      </c>
      <c r="AB7" s="8">
        <f t="shared" si="1"/>
        <v>9.023722106557619E-2</v>
      </c>
      <c r="AC7" s="9">
        <f t="shared" si="2"/>
        <v>0.21070218373493974</v>
      </c>
      <c r="AD7" s="8">
        <f t="shared" si="3"/>
        <v>3.1872000000000007</v>
      </c>
      <c r="AE7" s="8">
        <f t="shared" si="6"/>
        <v>0.65918422311217395</v>
      </c>
      <c r="AF7" s="20">
        <f t="shared" si="7"/>
        <v>0.20682235915919109</v>
      </c>
      <c r="AH7" s="8">
        <f t="shared" si="8"/>
        <v>2.8133673639062495</v>
      </c>
    </row>
    <row r="8" spans="1:34" s="7" customFormat="1" x14ac:dyDescent="0.2">
      <c r="A8" s="5">
        <v>39387</v>
      </c>
      <c r="B8" s="6">
        <v>0.16666666666666666</v>
      </c>
      <c r="C8" s="29"/>
      <c r="D8" s="7">
        <v>5</v>
      </c>
      <c r="E8" s="7">
        <v>187.20833300000001</v>
      </c>
      <c r="F8" s="5">
        <v>44748</v>
      </c>
      <c r="G8" s="7" t="s">
        <v>28</v>
      </c>
      <c r="H8" s="7">
        <f>glucose!H8*6/1000</f>
        <v>0.75179999999999991</v>
      </c>
      <c r="I8" s="7">
        <f>glucose!I8*6/1000</f>
        <v>0.81659999999999988</v>
      </c>
      <c r="J8" s="7">
        <f>glucose!J8*6/1000</f>
        <v>0.85199999999999998</v>
      </c>
      <c r="K8" s="7">
        <f>glucose!K8*6/1000</f>
        <v>1.0686</v>
      </c>
      <c r="L8" s="7">
        <f>glucose!L8*6/1000</f>
        <v>0.86759999999999993</v>
      </c>
      <c r="M8" s="7">
        <f>glucose!M8*6/1000</f>
        <v>-0.03</v>
      </c>
      <c r="N8" s="7">
        <f>glucose!N8*6/1000</f>
        <v>0.75900000000000001</v>
      </c>
      <c r="O8" s="7">
        <f>glucose!O8*6/1000</f>
        <v>0.70620000000000005</v>
      </c>
      <c r="P8" s="7">
        <f>glucose!P8*6/1000</f>
        <v>1.5683999999999998</v>
      </c>
      <c r="Q8" s="7">
        <f>glucose!Q8*6/1000</f>
        <v>1.9206000000000001</v>
      </c>
      <c r="R8" s="7">
        <f>glucose!R8*6/1000</f>
        <v>0.83699999999999997</v>
      </c>
      <c r="S8" s="7">
        <f>glucose!S8*6/1000</f>
        <v>1.4651999999999998</v>
      </c>
      <c r="T8" s="7">
        <v>1</v>
      </c>
      <c r="U8" s="7">
        <v>1</v>
      </c>
      <c r="V8" s="7">
        <v>0</v>
      </c>
      <c r="W8" s="7">
        <v>1</v>
      </c>
      <c r="X8" s="7">
        <v>3</v>
      </c>
      <c r="Y8" s="8">
        <f t="shared" si="4"/>
        <v>0.8637999999999999</v>
      </c>
      <c r="Z8" s="8">
        <f t="shared" si="5"/>
        <v>0.18575338489513452</v>
      </c>
      <c r="AA8" s="8">
        <f t="shared" si="0"/>
        <v>0.78759999999999997</v>
      </c>
      <c r="AB8" s="8">
        <f t="shared" si="1"/>
        <v>0.73922425702203265</v>
      </c>
      <c r="AC8" s="9">
        <f t="shared" si="2"/>
        <v>0.47692866658592714</v>
      </c>
      <c r="AD8" s="8">
        <f t="shared" si="3"/>
        <v>1.6513999999999998</v>
      </c>
      <c r="AE8" s="8">
        <f t="shared" si="6"/>
        <v>0.23877612946021209</v>
      </c>
      <c r="AF8" s="20">
        <f t="shared" si="7"/>
        <v>0.14459012320468217</v>
      </c>
      <c r="AH8" s="8">
        <f t="shared" si="8"/>
        <v>13.983705040429689</v>
      </c>
    </row>
    <row r="9" spans="1:34" s="7" customFormat="1" x14ac:dyDescent="0.2">
      <c r="A9" s="5">
        <v>39753</v>
      </c>
      <c r="B9" s="6">
        <v>0.29166666666666669</v>
      </c>
      <c r="C9" s="29"/>
      <c r="D9" s="7">
        <v>8</v>
      </c>
      <c r="E9" s="7">
        <v>187.33333300000001</v>
      </c>
      <c r="F9" s="5">
        <v>44748</v>
      </c>
      <c r="G9" s="7" t="s">
        <v>28</v>
      </c>
      <c r="H9" s="7">
        <f>glucose!H9*6/1000</f>
        <v>0.64740000000000009</v>
      </c>
      <c r="I9" s="7">
        <f>glucose!I9*6/1000</f>
        <v>0.20639999999999997</v>
      </c>
      <c r="J9" s="7">
        <f>glucose!J9*6/1000</f>
        <v>0.71879999999999999</v>
      </c>
      <c r="K9" s="7">
        <f>glucose!K9*6/1000</f>
        <v>0.13560000000000003</v>
      </c>
      <c r="L9" s="7">
        <f>glucose!L9*6/1000</f>
        <v>0.69</v>
      </c>
      <c r="M9" s="7">
        <f>glucose!M9*6/1000</f>
        <v>0.26639999999999997</v>
      </c>
      <c r="N9" s="7">
        <f>glucose!N9*6/1000</f>
        <v>0.81599999999999995</v>
      </c>
      <c r="O9" s="7">
        <f>glucose!O9*6/1000</f>
        <v>-3.8400000000000004E-2</v>
      </c>
      <c r="P9" s="7">
        <f>glucose!P9*6/1000</f>
        <v>0.85380000000000011</v>
      </c>
      <c r="Q9" s="7">
        <f>glucose!Q9*6/1000</f>
        <v>0.85440000000000005</v>
      </c>
      <c r="R9" s="7">
        <f>glucose!R9*6/1000</f>
        <v>0.95580000000000009</v>
      </c>
      <c r="S9" s="7">
        <f>glucose!S9*6/1000</f>
        <v>0.77759999999999996</v>
      </c>
      <c r="T9" s="7">
        <v>1</v>
      </c>
      <c r="U9" s="7">
        <v>1</v>
      </c>
      <c r="V9" s="7">
        <v>1</v>
      </c>
      <c r="W9" s="7">
        <v>0</v>
      </c>
      <c r="X9" s="7">
        <v>3</v>
      </c>
      <c r="Y9" s="8">
        <f t="shared" si="4"/>
        <v>0.20279999999999998</v>
      </c>
      <c r="Z9" s="8">
        <f t="shared" si="5"/>
        <v>6.5474269755377928E-2</v>
      </c>
      <c r="AA9" s="8">
        <f t="shared" si="0"/>
        <v>0.68540000000000001</v>
      </c>
      <c r="AB9" s="8">
        <f t="shared" si="1"/>
        <v>0.76010014243452939</v>
      </c>
      <c r="AC9" s="9">
        <f t="shared" si="2"/>
        <v>0.77167304661112368</v>
      </c>
      <c r="AD9" s="8">
        <f t="shared" si="3"/>
        <v>0.88819999999999999</v>
      </c>
      <c r="AE9" s="8">
        <f t="shared" si="6"/>
        <v>5.9063694432366733E-2</v>
      </c>
      <c r="AF9" s="20">
        <f t="shared" si="7"/>
        <v>6.6498192335472564E-2</v>
      </c>
      <c r="AH9" s="8">
        <f t="shared" si="8"/>
        <v>25.470129460429689</v>
      </c>
    </row>
    <row r="10" spans="1:34" s="12" customFormat="1" x14ac:dyDescent="0.2">
      <c r="A10" s="10">
        <v>37197</v>
      </c>
      <c r="B10" s="11">
        <v>0.29166666666666669</v>
      </c>
      <c r="C10" s="30">
        <v>209</v>
      </c>
      <c r="D10" s="12">
        <v>8</v>
      </c>
      <c r="E10" s="12">
        <v>209.33333300000001</v>
      </c>
      <c r="F10" s="10">
        <v>44770</v>
      </c>
      <c r="G10" s="12" t="s">
        <v>29</v>
      </c>
      <c r="H10" s="12">
        <f>glucose!H10*6/1000</f>
        <v>1.0326</v>
      </c>
      <c r="I10" s="12">
        <f>glucose!I10*6/1000</f>
        <v>0.86280000000000012</v>
      </c>
      <c r="J10" s="12">
        <f>glucose!J10*6/1000</f>
        <v>1.0091999999999999</v>
      </c>
      <c r="K10" s="12">
        <f>glucose!K10*6/1000</f>
        <v>7.3800000000000004E-2</v>
      </c>
      <c r="L10" s="12">
        <f>glucose!L10*6/1000</f>
        <v>0.9588000000000001</v>
      </c>
      <c r="M10" s="12">
        <f>glucose!M10*6/1000</f>
        <v>10.805400000000002</v>
      </c>
      <c r="N10" s="12">
        <f>glucose!N10*6/1000</f>
        <v>1.2738000000000003</v>
      </c>
      <c r="O10" s="12">
        <f>glucose!O10*6/1000</f>
        <v>0.62520000000000009</v>
      </c>
      <c r="P10" s="12">
        <f>glucose!P10*6/1000</f>
        <v>1.8954</v>
      </c>
      <c r="Q10" s="12">
        <f>glucose!Q10*6/1000</f>
        <v>1.0835999999999999</v>
      </c>
      <c r="R10" s="12">
        <f>glucose!R10*6/1000</f>
        <v>11.763599999999999</v>
      </c>
      <c r="S10" s="12">
        <f>glucose!S10*6/1000</f>
        <v>1.899</v>
      </c>
      <c r="T10" s="12">
        <v>1</v>
      </c>
      <c r="U10" s="12">
        <v>0</v>
      </c>
      <c r="V10" s="12">
        <v>0</v>
      </c>
      <c r="W10" s="12">
        <v>1</v>
      </c>
      <c r="X10" s="12">
        <v>2</v>
      </c>
      <c r="Y10" s="13">
        <f t="shared" si="4"/>
        <v>0.74400000000000011</v>
      </c>
      <c r="Z10" s="13">
        <f t="shared" si="5"/>
        <v>0.16800857120992371</v>
      </c>
      <c r="AA10" s="13">
        <f t="shared" si="0"/>
        <v>1.1532</v>
      </c>
      <c r="AB10" s="13">
        <f t="shared" si="1"/>
        <v>1.4036712659034039</v>
      </c>
      <c r="AC10" s="14">
        <f t="shared" si="2"/>
        <v>0.60784313725490191</v>
      </c>
      <c r="AD10" s="13">
        <f t="shared" si="3"/>
        <v>1.8972000000000002</v>
      </c>
      <c r="AE10" s="13">
        <f t="shared" si="6"/>
        <v>2.5455844122719189E-3</v>
      </c>
      <c r="AF10" s="21">
        <f t="shared" si="7"/>
        <v>1.3417585980771234E-3</v>
      </c>
      <c r="AH10" s="8">
        <f t="shared" si="8"/>
        <v>7.253247151953123</v>
      </c>
    </row>
    <row r="11" spans="1:34" s="12" customFormat="1" x14ac:dyDescent="0.2">
      <c r="A11" s="10">
        <v>37562</v>
      </c>
      <c r="B11" s="11">
        <v>0.54166666666666663</v>
      </c>
      <c r="C11" s="30"/>
      <c r="D11" s="12">
        <v>13</v>
      </c>
      <c r="E11" s="12">
        <v>209.54166699999999</v>
      </c>
      <c r="F11" s="10">
        <v>44770</v>
      </c>
      <c r="G11" s="12" t="s">
        <v>29</v>
      </c>
      <c r="H11" s="12">
        <f>glucose!H11*6/1000</f>
        <v>1.1291999999999998</v>
      </c>
      <c r="I11" s="12">
        <f>glucose!I11*6/1000</f>
        <v>1.3098000000000001</v>
      </c>
      <c r="J11" s="12">
        <f>glucose!J11*6/1000</f>
        <v>1.4808000000000001</v>
      </c>
      <c r="K11" s="12">
        <f>glucose!K11*6/1000</f>
        <v>4.3176000000000005</v>
      </c>
      <c r="L11" s="12">
        <f>glucose!L11*6/1000</f>
        <v>1.2030000000000001</v>
      </c>
      <c r="M11" s="12">
        <f>glucose!M11*6/1000</f>
        <v>5.3682000000000007</v>
      </c>
      <c r="N11" s="12">
        <f>glucose!N11*6/1000</f>
        <v>1.6098000000000001</v>
      </c>
      <c r="O11" s="12">
        <f>glucose!O11*6/1000</f>
        <v>3.2466000000000004</v>
      </c>
      <c r="P11" s="12">
        <f>glucose!P11*6/1000</f>
        <v>2.4390000000000001</v>
      </c>
      <c r="Q11" s="12">
        <f>glucose!Q11*6/1000</f>
        <v>5.7984</v>
      </c>
      <c r="R11" s="12">
        <f>glucose!R11*6/1000</f>
        <v>6.571200000000001</v>
      </c>
      <c r="S11" s="12">
        <f>glucose!S11*6/1000</f>
        <v>4.8557999999999995</v>
      </c>
      <c r="T11" s="12">
        <v>1</v>
      </c>
      <c r="U11" s="12">
        <v>1</v>
      </c>
      <c r="V11" s="12">
        <v>1</v>
      </c>
      <c r="W11" s="12">
        <v>1</v>
      </c>
      <c r="X11" s="12">
        <v>4</v>
      </c>
      <c r="Y11" s="13">
        <f t="shared" si="4"/>
        <v>3.5605500000000005</v>
      </c>
      <c r="Z11" s="13">
        <f t="shared" si="5"/>
        <v>1.7325475837621318</v>
      </c>
      <c r="AA11" s="13">
        <f t="shared" si="0"/>
        <v>1.3556999999999999</v>
      </c>
      <c r="AB11" s="13">
        <f t="shared" si="1"/>
        <v>0.49088110086164716</v>
      </c>
      <c r="AC11" s="14">
        <f t="shared" si="2"/>
        <v>0.27575896262395111</v>
      </c>
      <c r="AD11" s="13">
        <f t="shared" si="3"/>
        <v>4.9162500000000007</v>
      </c>
      <c r="AE11" s="13">
        <f t="shared" si="6"/>
        <v>1.7941941282926999</v>
      </c>
      <c r="AF11" s="21">
        <f t="shared" si="7"/>
        <v>0.36495176776866506</v>
      </c>
      <c r="AH11" s="8">
        <f t="shared" si="8"/>
        <v>14.627454866406261</v>
      </c>
    </row>
    <row r="12" spans="1:34" s="24" customFormat="1" x14ac:dyDescent="0.2">
      <c r="A12" s="22">
        <v>37198</v>
      </c>
      <c r="B12" s="23">
        <v>0.29166666666666669</v>
      </c>
      <c r="C12" s="31">
        <v>236</v>
      </c>
      <c r="D12" s="24">
        <v>8</v>
      </c>
      <c r="E12" s="24">
        <v>236.33333300000001</v>
      </c>
      <c r="F12" s="22">
        <v>44797</v>
      </c>
      <c r="G12" s="24" t="s">
        <v>30</v>
      </c>
      <c r="H12" s="24">
        <f>glucose!H12*6/1000</f>
        <v>0.52679999999999993</v>
      </c>
      <c r="I12" s="24">
        <f>glucose!I12*6/1000</f>
        <v>6.1950000000000003</v>
      </c>
      <c r="J12" s="24">
        <f>glucose!J12*6/1000</f>
        <v>0.50040000000000007</v>
      </c>
      <c r="K12" s="24">
        <f>glucose!K12*6/1000</f>
        <v>-2.3399999999999997E-2</v>
      </c>
      <c r="L12" s="24">
        <f>glucose!L12*6/1000</f>
        <v>0.47459999999999997</v>
      </c>
      <c r="M12" s="24">
        <f>glucose!M12*6/1000</f>
        <v>3.7733999999999996</v>
      </c>
      <c r="N12" s="24">
        <f>glucose!N12*6/1000</f>
        <v>0.5202</v>
      </c>
      <c r="O12" s="24">
        <f>glucose!O12*6/1000</f>
        <v>2.9609999999999999</v>
      </c>
      <c r="P12" s="24">
        <f>glucose!P12*6/1000</f>
        <v>6.7217999999999991</v>
      </c>
      <c r="Q12" s="24">
        <f>glucose!Q12*6/1000</f>
        <v>0.47640000000000005</v>
      </c>
      <c r="R12" s="24">
        <f>glucose!R12*6/1000</f>
        <v>4.2480000000000002</v>
      </c>
      <c r="S12" s="24">
        <f>glucose!S12*6/1000</f>
        <v>3.4812000000000003</v>
      </c>
      <c r="T12" s="24">
        <v>1</v>
      </c>
      <c r="U12" s="24">
        <v>0</v>
      </c>
      <c r="V12" s="24">
        <v>1</v>
      </c>
      <c r="W12" s="24">
        <v>1</v>
      </c>
      <c r="X12" s="24">
        <v>3</v>
      </c>
      <c r="Y12" s="25">
        <f t="shared" si="4"/>
        <v>4.3098000000000001</v>
      </c>
      <c r="Z12" s="25">
        <f t="shared" si="5"/>
        <v>1.6824038516361048</v>
      </c>
      <c r="AA12" s="25">
        <f t="shared" si="0"/>
        <v>0.50719999999999998</v>
      </c>
      <c r="AB12" s="25">
        <f t="shared" si="1"/>
        <v>1.4396055360238456</v>
      </c>
      <c r="AC12" s="26">
        <f t="shared" si="2"/>
        <v>0.10529375129748805</v>
      </c>
      <c r="AD12" s="25">
        <f t="shared" si="3"/>
        <v>4.8170000000000002</v>
      </c>
      <c r="AE12" s="25">
        <f t="shared" si="6"/>
        <v>1.6935739842120865</v>
      </c>
      <c r="AF12" s="27">
        <f t="shared" si="7"/>
        <v>0.35158272456136319</v>
      </c>
      <c r="AH12" s="8">
        <f t="shared" si="8"/>
        <v>8.8296875504296874</v>
      </c>
    </row>
    <row r="13" spans="1:34" s="24" customFormat="1" x14ac:dyDescent="0.2">
      <c r="A13" s="22">
        <v>37563</v>
      </c>
      <c r="B13" s="23">
        <v>0.54166666666666663</v>
      </c>
      <c r="C13" s="31"/>
      <c r="D13" s="24">
        <v>13</v>
      </c>
      <c r="E13" s="24">
        <v>236.54166699999999</v>
      </c>
      <c r="F13" s="22">
        <v>44797</v>
      </c>
      <c r="G13" s="24" t="s">
        <v>30</v>
      </c>
      <c r="H13" s="24">
        <f>glucose!H13*6/1000</f>
        <v>0.5232</v>
      </c>
      <c r="I13" s="24">
        <f>glucose!I13*6/1000</f>
        <v>7.0727999999999991</v>
      </c>
      <c r="J13" s="24">
        <f>glucose!J13*6/1000</f>
        <v>0.41579999999999995</v>
      </c>
      <c r="K13" s="24">
        <f>glucose!K13*6/1000</f>
        <v>6.5129999999999999</v>
      </c>
      <c r="L13" s="24">
        <f>glucose!L13*6/1000</f>
        <v>0.66</v>
      </c>
      <c r="M13" s="24">
        <f>glucose!M13*6/1000</f>
        <v>5.7203999999999997</v>
      </c>
      <c r="N13" s="24">
        <f>glucose!N13*6/1000</f>
        <v>0.45840000000000003</v>
      </c>
      <c r="O13" s="24">
        <f>glucose!O13*6/1000</f>
        <v>6.7092000000000009</v>
      </c>
      <c r="P13" s="24">
        <f>glucose!P13*6/1000</f>
        <v>7.5960000000000001</v>
      </c>
      <c r="Q13" s="24">
        <f>glucose!Q13*6/1000</f>
        <v>6.9294000000000002</v>
      </c>
      <c r="R13" s="24">
        <f>glucose!R13*6/1000</f>
        <v>6.3804000000000007</v>
      </c>
      <c r="S13" s="24">
        <f>glucose!S13*6/1000</f>
        <v>7.1675999999999993</v>
      </c>
      <c r="T13" s="24">
        <v>1</v>
      </c>
      <c r="U13" s="24">
        <v>1</v>
      </c>
      <c r="V13" s="24">
        <v>1</v>
      </c>
      <c r="W13" s="24">
        <v>1</v>
      </c>
      <c r="X13" s="24">
        <v>4</v>
      </c>
      <c r="Y13" s="25">
        <f t="shared" si="4"/>
        <v>6.5038499999999999</v>
      </c>
      <c r="Z13" s="25">
        <f t="shared" si="5"/>
        <v>0.57147480259413008</v>
      </c>
      <c r="AA13" s="25">
        <f t="shared" si="0"/>
        <v>0.51434999999999997</v>
      </c>
      <c r="AB13" s="25">
        <f t="shared" si="1"/>
        <v>0.12541626992496274</v>
      </c>
      <c r="AC13" s="26">
        <f t="shared" si="2"/>
        <v>7.3288022569889713E-2</v>
      </c>
      <c r="AD13" s="25">
        <f t="shared" si="3"/>
        <v>7.0182000000000002</v>
      </c>
      <c r="AE13" s="25">
        <f t="shared" si="6"/>
        <v>0.50693668243677126</v>
      </c>
      <c r="AF13" s="27">
        <f t="shared" si="7"/>
        <v>7.2231723581085067E-2</v>
      </c>
      <c r="AH13" s="8">
        <f t="shared" si="8"/>
        <v>42.157820793906254</v>
      </c>
    </row>
    <row r="14" spans="1:34" s="24" customFormat="1" x14ac:dyDescent="0.2">
      <c r="A14" s="22">
        <v>37928</v>
      </c>
      <c r="B14" s="23">
        <v>0.79166666666666663</v>
      </c>
      <c r="C14" s="31"/>
      <c r="D14" s="24">
        <v>20</v>
      </c>
      <c r="E14" s="24">
        <v>236.83333300000001</v>
      </c>
      <c r="F14" s="22">
        <v>44797</v>
      </c>
      <c r="G14" s="24" t="s">
        <v>30</v>
      </c>
      <c r="H14" s="24">
        <f>glucose!H14*6/1000</f>
        <v>0.501</v>
      </c>
      <c r="I14" s="24">
        <f>glucose!I14*6/1000</f>
        <v>9.7367999999999988</v>
      </c>
      <c r="J14" s="24">
        <f>glucose!J14*6/1000</f>
        <v>0.52079999999999993</v>
      </c>
      <c r="K14" s="24">
        <f>glucose!K14*6/1000</f>
        <v>7.0469999999999997</v>
      </c>
      <c r="L14" s="24">
        <f>glucose!L14*6/1000</f>
        <v>0.41099999999999998</v>
      </c>
      <c r="M14" s="24">
        <f>glucose!M14*6/1000</f>
        <v>7.1814000000000009</v>
      </c>
      <c r="N14" s="24">
        <f>glucose!N14*6/1000</f>
        <v>0.46679999999999994</v>
      </c>
      <c r="O14" s="24">
        <f>glucose!O14*6/1000</f>
        <v>6.4584000000000001</v>
      </c>
      <c r="P14" s="24">
        <f>glucose!P14*6/1000</f>
        <v>10.237200000000001</v>
      </c>
      <c r="Q14" s="24">
        <f>glucose!Q14*6/1000</f>
        <v>7.5677999999999992</v>
      </c>
      <c r="R14" s="24">
        <f>glucose!R14*6/1000</f>
        <v>7.5924000000000005</v>
      </c>
      <c r="S14" s="24">
        <f>glucose!S14*6/1000</f>
        <v>6.9252000000000011</v>
      </c>
      <c r="T14" s="24">
        <v>1</v>
      </c>
      <c r="U14" s="24">
        <v>1</v>
      </c>
      <c r="V14" s="24">
        <v>1</v>
      </c>
      <c r="W14" s="24">
        <v>1</v>
      </c>
      <c r="X14" s="24">
        <v>4</v>
      </c>
      <c r="Y14" s="25">
        <f t="shared" si="4"/>
        <v>7.6059000000000001</v>
      </c>
      <c r="Z14" s="25">
        <f t="shared" si="5"/>
        <v>1.454883789173554</v>
      </c>
      <c r="AA14" s="25">
        <f t="shared" si="0"/>
        <v>0.47489999999999993</v>
      </c>
      <c r="AB14" s="25">
        <f t="shared" si="1"/>
        <v>1.1326090452537489</v>
      </c>
      <c r="AC14" s="26">
        <f t="shared" si="2"/>
        <v>5.8768933768933759E-2</v>
      </c>
      <c r="AD14" s="25">
        <f t="shared" si="3"/>
        <v>8.0808</v>
      </c>
      <c r="AE14" s="25">
        <f t="shared" si="6"/>
        <v>1.4708006799019357</v>
      </c>
      <c r="AF14" s="27">
        <f t="shared" si="7"/>
        <v>0.18201176614963069</v>
      </c>
      <c r="AH14" s="8">
        <f t="shared" si="8"/>
        <v>79.737044283906243</v>
      </c>
    </row>
    <row r="15" spans="1:34" s="17" customFormat="1" x14ac:dyDescent="0.2">
      <c r="A15" s="15">
        <v>37199</v>
      </c>
      <c r="B15" s="16">
        <v>0.29166666666666669</v>
      </c>
      <c r="C15" s="32">
        <v>258</v>
      </c>
      <c r="D15" s="17">
        <v>8</v>
      </c>
      <c r="E15" s="17">
        <v>258.33333299999998</v>
      </c>
      <c r="F15" s="15">
        <v>44819</v>
      </c>
      <c r="G15" s="17" t="s">
        <v>31</v>
      </c>
      <c r="H15" s="17">
        <f>glucose!H15*6/1000</f>
        <v>0.41099999999999998</v>
      </c>
      <c r="I15" s="17">
        <f>glucose!I15*6/1000</f>
        <v>1.4021999999999999</v>
      </c>
      <c r="J15" s="17">
        <f>glucose!J15*6/1000</f>
        <v>0.35339999999999999</v>
      </c>
      <c r="K15" s="17">
        <f>glucose!K15*6/1000</f>
        <v>1.3068000000000002</v>
      </c>
      <c r="L15" s="17">
        <f>glucose!L15*6/1000</f>
        <v>0.39359999999999995</v>
      </c>
      <c r="M15" s="17">
        <f>glucose!M15*6/1000</f>
        <v>0.72899999999999998</v>
      </c>
      <c r="N15" s="17">
        <f>glucose!N15*6/1000</f>
        <v>0.43259999999999998</v>
      </c>
      <c r="O15" s="17">
        <f>glucose!O15*6/1000</f>
        <v>3.5442000000000005</v>
      </c>
      <c r="P15" s="17">
        <f>glucose!P15*6/1000</f>
        <v>1.8126000000000002</v>
      </c>
      <c r="Q15" s="17">
        <f>glucose!Q15*6/1000</f>
        <v>1.6601999999999999</v>
      </c>
      <c r="R15" s="17">
        <f>glucose!R15*6/1000</f>
        <v>1.1231999999999998</v>
      </c>
      <c r="S15" s="17">
        <f>glucose!S15*6/1000</f>
        <v>3.9767999999999999</v>
      </c>
      <c r="T15" s="17">
        <v>1</v>
      </c>
      <c r="U15" s="17">
        <v>1</v>
      </c>
      <c r="V15" s="17">
        <v>1</v>
      </c>
      <c r="W15" s="17">
        <v>0</v>
      </c>
      <c r="X15" s="17">
        <v>3</v>
      </c>
      <c r="Y15" s="18">
        <f t="shared" si="4"/>
        <v>1.1460000000000001</v>
      </c>
      <c r="Z15" s="18">
        <f t="shared" si="5"/>
        <v>0.36426918617967124</v>
      </c>
      <c r="AA15" s="18">
        <f t="shared" si="0"/>
        <v>0.38599999999999995</v>
      </c>
      <c r="AB15" s="18">
        <f t="shared" si="1"/>
        <v>3.9763078401208879E-2</v>
      </c>
      <c r="AC15" s="19">
        <f t="shared" si="2"/>
        <v>0.25195822454308092</v>
      </c>
      <c r="AD15" s="18">
        <f t="shared" si="3"/>
        <v>1.532</v>
      </c>
      <c r="AE15" s="18">
        <f t="shared" si="6"/>
        <v>0.36270996677786521</v>
      </c>
      <c r="AF15" s="28">
        <f t="shared" si="7"/>
        <v>0.23675585298816268</v>
      </c>
      <c r="AH15" s="8">
        <f t="shared" si="8"/>
        <v>15.715943972929686</v>
      </c>
    </row>
    <row r="16" spans="1:34" s="17" customFormat="1" x14ac:dyDescent="0.2">
      <c r="A16" s="15">
        <v>37564</v>
      </c>
      <c r="B16" s="16">
        <v>0.54166666666666663</v>
      </c>
      <c r="C16" s="32"/>
      <c r="D16" s="17">
        <v>13</v>
      </c>
      <c r="E16" s="17">
        <v>258.54166700000002</v>
      </c>
      <c r="F16" s="15">
        <v>44819</v>
      </c>
      <c r="G16" s="17" t="s">
        <v>31</v>
      </c>
      <c r="H16" s="17">
        <f>glucose!H16*6/1000</f>
        <v>0.31020000000000003</v>
      </c>
      <c r="I16" s="17">
        <f>glucose!I16*6/1000</f>
        <v>-2.1600000000000001E-2</v>
      </c>
      <c r="J16" s="17">
        <f>glucose!J16*6/1000</f>
        <v>0.38220000000000004</v>
      </c>
      <c r="K16" s="17">
        <f>glucose!K16*6/1000</f>
        <v>1.2509999999999999</v>
      </c>
      <c r="L16" s="17">
        <f>glucose!L16*6/1000</f>
        <v>0.48299999999999998</v>
      </c>
      <c r="M16" s="17">
        <f>glucose!M16*6/1000</f>
        <v>0.38039999999999996</v>
      </c>
      <c r="N16" s="17">
        <f>glucose!N16*6/1000</f>
        <v>0.44520000000000004</v>
      </c>
      <c r="O16" s="17">
        <f>glucose!O16*6/1000</f>
        <v>0.56879999999999997</v>
      </c>
      <c r="P16" s="17">
        <f>glucose!P16*6/1000</f>
        <v>0.28799999999999998</v>
      </c>
      <c r="Q16" s="17">
        <f>glucose!Q16*6/1000</f>
        <v>1.6331999999999998</v>
      </c>
      <c r="R16" s="17">
        <f>glucose!R16*6/1000</f>
        <v>0.86340000000000006</v>
      </c>
      <c r="S16" s="17">
        <f>glucose!S16*6/1000</f>
        <v>1.014</v>
      </c>
      <c r="T16" s="17">
        <v>0</v>
      </c>
      <c r="U16" s="17">
        <v>1</v>
      </c>
      <c r="V16" s="17">
        <v>1</v>
      </c>
      <c r="W16" s="17">
        <v>1</v>
      </c>
      <c r="X16" s="17">
        <v>3</v>
      </c>
      <c r="Y16" s="18">
        <f t="shared" si="4"/>
        <v>0.73339999999999994</v>
      </c>
      <c r="Z16" s="18">
        <f t="shared" si="5"/>
        <v>0.45804580556970498</v>
      </c>
      <c r="AA16" s="18">
        <f t="shared" si="0"/>
        <v>0.43680000000000002</v>
      </c>
      <c r="AB16" s="18">
        <f t="shared" si="1"/>
        <v>5.7185281160964462E-2</v>
      </c>
      <c r="AC16" s="19">
        <f t="shared" si="2"/>
        <v>0.37326952657665363</v>
      </c>
      <c r="AD16" s="18">
        <f t="shared" si="3"/>
        <v>1.1701999999999999</v>
      </c>
      <c r="AE16" s="18">
        <f t="shared" si="6"/>
        <v>0.40797897004625128</v>
      </c>
      <c r="AF16" s="28">
        <f t="shared" si="7"/>
        <v>0.34864037775273571</v>
      </c>
      <c r="AH16" s="8">
        <f t="shared" si="8"/>
        <v>21.105198175429688</v>
      </c>
    </row>
    <row r="17" spans="1:34" s="17" customFormat="1" x14ac:dyDescent="0.2">
      <c r="A17" s="15">
        <v>37929</v>
      </c>
      <c r="B17" s="16">
        <v>0.79166666666666663</v>
      </c>
      <c r="C17" s="32"/>
      <c r="D17" s="17">
        <v>20</v>
      </c>
      <c r="E17" s="17">
        <v>258.83333299999998</v>
      </c>
      <c r="F17" s="15">
        <v>44819</v>
      </c>
      <c r="G17" s="17" t="s">
        <v>31</v>
      </c>
      <c r="H17" s="17">
        <f>glucose!H17*6/1000</f>
        <v>0.34620000000000006</v>
      </c>
      <c r="I17" s="17">
        <f>glucose!I17*6/1000</f>
        <v>0.81359999999999988</v>
      </c>
      <c r="J17" s="17">
        <f>glucose!J17*6/1000</f>
        <v>0.39720000000000005</v>
      </c>
      <c r="K17" s="17">
        <f>glucose!K17*6/1000</f>
        <v>2.8308</v>
      </c>
      <c r="L17" s="17">
        <f>glucose!L17*6/1000</f>
        <v>0.42240000000000005</v>
      </c>
      <c r="M17" s="17">
        <f>glucose!M17*6/1000</f>
        <v>0.5855999999999999</v>
      </c>
      <c r="N17" s="17">
        <f>glucose!N17*6/1000</f>
        <v>0.39840000000000003</v>
      </c>
      <c r="O17" s="17">
        <f>glucose!O17*6/1000</f>
        <v>-3.0000000000000001E-3</v>
      </c>
      <c r="P17" s="17">
        <f>glucose!P17*6/1000</f>
        <v>1.1598000000000002</v>
      </c>
      <c r="Q17" s="17">
        <f>glucose!Q17*6/1000</f>
        <v>3.2280000000000002</v>
      </c>
      <c r="R17" s="17">
        <f>glucose!R17*6/1000</f>
        <v>1.0085999999999999</v>
      </c>
      <c r="S17" s="17">
        <f>glucose!S17*6/1000</f>
        <v>0.39540000000000003</v>
      </c>
      <c r="T17" s="17">
        <v>1</v>
      </c>
      <c r="U17" s="17">
        <v>0</v>
      </c>
      <c r="V17" s="17">
        <v>1</v>
      </c>
      <c r="W17" s="17">
        <v>1</v>
      </c>
      <c r="X17" s="17">
        <v>3</v>
      </c>
      <c r="Y17" s="18">
        <f t="shared" si="4"/>
        <v>0.46539999999999998</v>
      </c>
      <c r="Z17" s="18">
        <f>SQRT((((I17-$Y17)^2)*T17+((K17-$Y17)^2)*U17+((M17-$Y17)^2)*V17+((O17-$Y17)^2)*W17)/(X17-1))</f>
        <v>0.4213607955185199</v>
      </c>
      <c r="AA17" s="18">
        <f t="shared" si="0"/>
        <v>0.38900000000000007</v>
      </c>
      <c r="AB17" s="18">
        <f t="shared" si="1"/>
        <v>5.5576178618965709E-2</v>
      </c>
      <c r="AC17" s="19">
        <f t="shared" si="2"/>
        <v>0.45529026217228469</v>
      </c>
      <c r="AD17" s="18">
        <f t="shared" si="3"/>
        <v>0.85440000000000005</v>
      </c>
      <c r="AE17" s="18">
        <f t="shared" si="6"/>
        <v>0.40468699015411891</v>
      </c>
      <c r="AF17" s="28">
        <f t="shared" si="7"/>
        <v>0.47365050345753618</v>
      </c>
      <c r="AH17" s="8">
        <f t="shared" si="8"/>
        <v>26.384954042929685</v>
      </c>
    </row>
    <row r="18" spans="1:34" x14ac:dyDescent="0.2">
      <c r="AD18" s="18">
        <f>AVERAGE(AD2:AD17)</f>
        <v>3.8015687499999999</v>
      </c>
      <c r="AF18" s="3"/>
      <c r="AH18" s="8">
        <f>SQRT(SUM(AH2:AH17)/(SUM(X2:X17)-1))</f>
        <v>2.4962508496981912</v>
      </c>
    </row>
  </sheetData>
  <mergeCells count="4">
    <mergeCell ref="C2:C9"/>
    <mergeCell ref="C10:C11"/>
    <mergeCell ref="C12:C14"/>
    <mergeCell ref="C15:C1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AB2F-7D05-F347-9806-82074D5EF7AF}">
  <dimension ref="A1:AJ18"/>
  <sheetViews>
    <sheetView topLeftCell="U1" zoomScale="125" workbookViewId="0">
      <selection activeCell="AC12" sqref="AC12:AC17"/>
    </sheetView>
  </sheetViews>
  <sheetFormatPr baseColWidth="10" defaultRowHeight="16" x14ac:dyDescent="0.2"/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32</v>
      </c>
      <c r="Z1" t="s">
        <v>36</v>
      </c>
      <c r="AA1" t="s">
        <v>39</v>
      </c>
      <c r="AC1" t="s">
        <v>33</v>
      </c>
      <c r="AD1" t="s">
        <v>37</v>
      </c>
      <c r="AE1" t="s">
        <v>35</v>
      </c>
      <c r="AF1" t="s">
        <v>24</v>
      </c>
      <c r="AG1" t="s">
        <v>25</v>
      </c>
      <c r="AH1" t="s">
        <v>26</v>
      </c>
      <c r="AJ1" t="s">
        <v>38</v>
      </c>
    </row>
    <row r="2" spans="1:36" s="7" customFormat="1" x14ac:dyDescent="0.2">
      <c r="A2" s="5">
        <v>37196</v>
      </c>
      <c r="B2" s="6">
        <v>0.41666666666666669</v>
      </c>
      <c r="C2" s="29" t="s">
        <v>34</v>
      </c>
      <c r="D2" s="7">
        <v>11</v>
      </c>
      <c r="E2" s="7">
        <v>186.45833300000001</v>
      </c>
      <c r="F2" s="5">
        <v>44747</v>
      </c>
      <c r="G2" s="7" t="s">
        <v>27</v>
      </c>
      <c r="H2" s="7">
        <f>og!H2*0.18</f>
        <v>42.785999999999994</v>
      </c>
      <c r="I2" s="7">
        <f>og!I2*0.18</f>
        <v>53.675999999999995</v>
      </c>
      <c r="J2" s="7">
        <f>og!J2*0.18</f>
        <v>0</v>
      </c>
      <c r="K2" s="7">
        <f>og!K2*0.18</f>
        <v>0</v>
      </c>
      <c r="L2" s="7">
        <f>og!L2*0.18</f>
        <v>54.143999999999998</v>
      </c>
      <c r="M2" s="7">
        <f>og!M2*0.18</f>
        <v>0</v>
      </c>
      <c r="N2" s="7">
        <f>og!N2*0.18</f>
        <v>43.577999999999996</v>
      </c>
      <c r="O2" s="7">
        <f>og!O2*0.18</f>
        <v>54.917999999999999</v>
      </c>
      <c r="P2" s="7">
        <f>og!P2*0.18</f>
        <v>96.461999999999989</v>
      </c>
      <c r="Q2" s="7">
        <f>og!Q2*0.18</f>
        <v>0</v>
      </c>
      <c r="R2" s="7">
        <f>og!R2*0.18</f>
        <v>54.143999999999998</v>
      </c>
      <c r="S2" s="7">
        <f>og!S2*0.18</f>
        <v>98.496000000000009</v>
      </c>
      <c r="T2" s="7">
        <v>1</v>
      </c>
      <c r="U2" s="7">
        <v>0</v>
      </c>
      <c r="V2" s="7">
        <v>0</v>
      </c>
      <c r="W2" s="7">
        <v>1</v>
      </c>
      <c r="X2" s="7">
        <v>2</v>
      </c>
      <c r="Y2" s="8">
        <f>(I2*T2+K2*U2+M2*V2+O2*W2)/X2</f>
        <v>54.296999999999997</v>
      </c>
      <c r="Z2" s="8">
        <f>SQRT((((I2-$Y2)^2)*T2+((K2-$Y2)^2)*U2+((M2-$Y2)^2)*V2+((O2-$Y2)^2)*W2)/(X2-1))</f>
        <v>0.87822662223369519</v>
      </c>
      <c r="AA2" s="20">
        <f>Y2/(Y2+AC2)</f>
        <v>0.557012279567907</v>
      </c>
      <c r="AB2" s="33">
        <f>AVERAGE(AA2:AA9)</f>
        <v>0.68085434117225907</v>
      </c>
      <c r="AC2" s="8">
        <f t="shared" ref="AC2:AC17" si="0">(H2*T2+J2*U2+L2*V2+N2*W2)/X2</f>
        <v>43.181999999999995</v>
      </c>
      <c r="AD2" s="8">
        <f>SQRT((((H2-$Z2)^2)*T2+((J2-$Z2)^2)*U2+((L2-$Z2)^2)*V2+((N2-$Z2)^2)*W2)/(X2-1))</f>
        <v>59.829191169485291</v>
      </c>
      <c r="AE2" s="9">
        <f>AC2/(Y2+AC2)</f>
        <v>0.44298772043209306</v>
      </c>
      <c r="AF2" s="4">
        <f>Y2+AC2</f>
        <v>97.478999999999985</v>
      </c>
      <c r="AG2" s="4">
        <f>SQRT((((H2+I2-$AF2)^2)*T2+((J2+K2-$AF2)^2)*U2+((L2+M2-$AF2)^2)*V2+((N2+O2-$AF2)^2)*W2)/(X2-1))</f>
        <v>1.438255192933442</v>
      </c>
      <c r="AH2" s="20">
        <f>AG2/AF2</f>
        <v>1.4754513207290208E-2</v>
      </c>
      <c r="AJ2" s="8">
        <f>((H2+I2-$AF$18)^2)*T2+((J2+K2-$AF$18)^2)*U2+((L2+M2-$AF$18)^2)*V2+((N2+O2-$AF$18)^2)*W2</f>
        <v>551.0699680078128</v>
      </c>
    </row>
    <row r="3" spans="1:36" s="7" customFormat="1" x14ac:dyDescent="0.2">
      <c r="A3" s="5">
        <v>37561</v>
      </c>
      <c r="B3" s="6">
        <v>0.54166666666666663</v>
      </c>
      <c r="C3" s="29"/>
      <c r="D3" s="7">
        <v>14</v>
      </c>
      <c r="E3" s="7">
        <v>186.58333300000001</v>
      </c>
      <c r="F3" s="5">
        <v>44747</v>
      </c>
      <c r="G3" s="7" t="s">
        <v>27</v>
      </c>
      <c r="H3" s="7">
        <f>og!H3*0.18</f>
        <v>32.687999999999995</v>
      </c>
      <c r="I3" s="7">
        <f>og!I3*0.18</f>
        <v>44.117999999999995</v>
      </c>
      <c r="J3" s="7">
        <f>og!J3*0.18</f>
        <v>25.83</v>
      </c>
      <c r="K3" s="7">
        <f>og!K3*0.18</f>
        <v>103.14</v>
      </c>
      <c r="L3" s="7">
        <f>og!L3*0.18</f>
        <v>25.398</v>
      </c>
      <c r="M3" s="7">
        <f>og!M3*0.18</f>
        <v>63.863999999999997</v>
      </c>
      <c r="N3" s="7">
        <f>og!N3*0.18</f>
        <v>20.303999999999998</v>
      </c>
      <c r="O3" s="7">
        <f>og!O3*0.18</f>
        <v>64.043999999999997</v>
      </c>
      <c r="P3" s="7">
        <f>og!P3*0.18</f>
        <v>76.805999999999997</v>
      </c>
      <c r="Q3" s="7">
        <f>og!Q3*0.18</f>
        <v>128.97</v>
      </c>
      <c r="R3" s="7">
        <f>og!R3*0.18</f>
        <v>89.244</v>
      </c>
      <c r="S3" s="7">
        <f>og!S3*0.18</f>
        <v>84.347999999999999</v>
      </c>
      <c r="T3" s="7">
        <v>1</v>
      </c>
      <c r="U3" s="7">
        <v>1</v>
      </c>
      <c r="V3" s="7">
        <v>1</v>
      </c>
      <c r="W3" s="7">
        <v>1</v>
      </c>
      <c r="X3" s="7">
        <v>4</v>
      </c>
      <c r="Y3" s="8">
        <f t="shared" ref="Y3:Y17" si="1">(I3*T3+K3*U3+M3*V3+O3*W3)/X3</f>
        <v>68.791499999999999</v>
      </c>
      <c r="Z3" s="8">
        <f t="shared" ref="Z3:Z16" si="2">SQRT((((I3-$Y3)^2)*T3+((K3-$Y3)^2)*U3+((M3-$Y3)^2)*V3+((O3-$Y3)^2)*W3)/(X3-1))</f>
        <v>24.734726378110597</v>
      </c>
      <c r="AA3" s="20">
        <f t="shared" ref="AA3:AA17" si="3">Y3/(Y3+AC3)</f>
        <v>0.72529297338330889</v>
      </c>
      <c r="AB3" s="33"/>
      <c r="AC3" s="8">
        <f t="shared" si="0"/>
        <v>26.055</v>
      </c>
      <c r="AD3" s="8">
        <f>SQRT((((H3-$Z3)^2)*T3+((J3-$Z3)^2)*U3+((L3-$Z3)^2)*V3+((N3-$Z3)^2)*W3)/(X3-1))</f>
        <v>5.3080270580391664</v>
      </c>
      <c r="AE3" s="9">
        <f>AC3/(Y3+AC3)</f>
        <v>0.27470702661669122</v>
      </c>
      <c r="AF3" s="4">
        <f>Y3+AC3</f>
        <v>94.846499999999992</v>
      </c>
      <c r="AG3" s="4">
        <f>SQRT((((H3+I3-$AF3)^2)*T3+((J3+K3-$AF3)^2)*U3+((L3+M3-$AF3)^2)*V3+((N3+O3-$AF3)^2)*W3)/(X3-1))</f>
        <v>23.318648009693877</v>
      </c>
      <c r="AH3" s="20">
        <f t="shared" ref="AH3:AH17" si="4">AG3/AF3</f>
        <v>0.24585670541025637</v>
      </c>
      <c r="AJ3" s="8">
        <f t="shared" ref="AJ3:AJ16" si="5">((H3+I3-$AF$18)^2)*T3+((J3+K3-$AF$18)^2)*U3+((L3+M3-$AF$18)^2)*V3+((N3+O3-$AF$18)^2)*W3</f>
        <v>3105.9244362656259</v>
      </c>
    </row>
    <row r="4" spans="1:36" s="7" customFormat="1" x14ac:dyDescent="0.2">
      <c r="A4" s="5">
        <v>37926</v>
      </c>
      <c r="B4" s="6">
        <v>0.66666666666666663</v>
      </c>
      <c r="C4" s="29"/>
      <c r="D4" s="7">
        <v>17</v>
      </c>
      <c r="E4" s="7">
        <v>186.70833300000001</v>
      </c>
      <c r="F4" s="5">
        <v>44747</v>
      </c>
      <c r="G4" s="7" t="s">
        <v>27</v>
      </c>
      <c r="H4" s="7">
        <f>og!H4*0.18</f>
        <v>25.325999999999997</v>
      </c>
      <c r="I4" s="7">
        <f>og!I4*0.18</f>
        <v>60.408000000000001</v>
      </c>
      <c r="J4" s="7">
        <f>og!J4*0.18</f>
        <v>33.408000000000001</v>
      </c>
      <c r="K4" s="7">
        <f>og!K4*0.18</f>
        <v>166.41</v>
      </c>
      <c r="L4" s="7">
        <f>og!L4*0.18</f>
        <v>21.887999999999998</v>
      </c>
      <c r="M4" s="7">
        <f>og!M4*0.18</f>
        <v>68.688000000000002</v>
      </c>
      <c r="N4" s="7">
        <f>og!N4*0.18</f>
        <v>22.59</v>
      </c>
      <c r="O4" s="7">
        <f>og!O4*0.18</f>
        <v>164.62799999999999</v>
      </c>
      <c r="P4" s="7">
        <f>og!P4*0.18</f>
        <v>85.733999999999995</v>
      </c>
      <c r="Q4" s="7">
        <f>og!Q4*0.18</f>
        <v>199.79999999999998</v>
      </c>
      <c r="R4" s="7">
        <f>og!R4*0.18</f>
        <v>90.558000000000007</v>
      </c>
      <c r="S4" s="7">
        <f>og!S4*0.18</f>
        <v>187.21799999999999</v>
      </c>
      <c r="T4" s="7">
        <v>0</v>
      </c>
      <c r="U4" s="7">
        <v>1</v>
      </c>
      <c r="V4" s="7">
        <v>0</v>
      </c>
      <c r="W4" s="7">
        <v>1</v>
      </c>
      <c r="X4" s="7">
        <v>2</v>
      </c>
      <c r="Y4" s="8">
        <f t="shared" si="1"/>
        <v>165.51900000000001</v>
      </c>
      <c r="Z4" s="8">
        <f t="shared" si="2"/>
        <v>1.2600642840744352</v>
      </c>
      <c r="AA4" s="20">
        <f t="shared" si="3"/>
        <v>0.85531578457817881</v>
      </c>
      <c r="AB4" s="33"/>
      <c r="AC4" s="8">
        <f t="shared" si="0"/>
        <v>27.999000000000002</v>
      </c>
      <c r="AD4" s="8">
        <f>SQRT((((H4-$Z4)^2)*T4+((J4-$Z4)^2)*U4+((L4-$Z4)^2)*V4+((N4-$Z4)^2)*W4)/(X4-1))</f>
        <v>38.580512288470196</v>
      </c>
      <c r="AE4" s="9">
        <f>AC4/(Y4+AC4)</f>
        <v>0.14468421542182125</v>
      </c>
      <c r="AF4" s="4">
        <f>Y4+AC4</f>
        <v>193.518</v>
      </c>
      <c r="AG4" s="4">
        <f>SQRT((((H4+I4-$AF4)^2)*T4+((J4+K4-$AF4)^2)*U4+((L4+M4-$AF4)^2)*V4+((N4+O4-$AF4)^2)*W4)/(X4-1))</f>
        <v>8.9095454429504954</v>
      </c>
      <c r="AH4" s="20">
        <f t="shared" si="4"/>
        <v>4.6039879716359693E-2</v>
      </c>
      <c r="AJ4" s="8">
        <f t="shared" si="5"/>
        <v>12710.639814257811</v>
      </c>
    </row>
    <row r="5" spans="1:36" s="7" customFormat="1" x14ac:dyDescent="0.2">
      <c r="A5" s="5">
        <v>38292</v>
      </c>
      <c r="B5" s="6">
        <v>0.79166666666666663</v>
      </c>
      <c r="C5" s="29"/>
      <c r="D5" s="7">
        <v>20</v>
      </c>
      <c r="E5" s="7">
        <v>186.83333300000001</v>
      </c>
      <c r="F5" s="5">
        <v>44747</v>
      </c>
      <c r="G5" s="7" t="s">
        <v>27</v>
      </c>
      <c r="H5" s="7">
        <f>og!H5*0.18</f>
        <v>20.663999999999998</v>
      </c>
      <c r="I5" s="7">
        <f>og!I5*0.18</f>
        <v>173.142</v>
      </c>
      <c r="J5" s="7">
        <f>og!J5*0.18</f>
        <v>21.312000000000001</v>
      </c>
      <c r="K5" s="7">
        <f>og!K5*0.18</f>
        <v>144.77399999999997</v>
      </c>
      <c r="L5" s="7">
        <f>og!L5*0.18</f>
        <v>20.213999999999999</v>
      </c>
      <c r="M5" s="7">
        <f>og!M5*0.18</f>
        <v>153.19800000000001</v>
      </c>
      <c r="N5" s="7">
        <f>og!N5*0.18</f>
        <v>21.366</v>
      </c>
      <c r="O5" s="7">
        <f>og!O5*0.18</f>
        <v>149.202</v>
      </c>
      <c r="P5" s="7">
        <f>og!P5*0.18</f>
        <v>193.82399999999998</v>
      </c>
      <c r="Q5" s="7">
        <f>og!Q5*0.18</f>
        <v>166.08600000000001</v>
      </c>
      <c r="R5" s="7">
        <f>og!R5*0.18</f>
        <v>173.41199999999998</v>
      </c>
      <c r="S5" s="7">
        <f>og!S5*0.18</f>
        <v>170.56799999999998</v>
      </c>
      <c r="T5" s="7">
        <v>1</v>
      </c>
      <c r="U5" s="7">
        <v>0</v>
      </c>
      <c r="V5" s="7">
        <v>1</v>
      </c>
      <c r="W5" s="7">
        <v>1</v>
      </c>
      <c r="X5" s="7">
        <v>3</v>
      </c>
      <c r="Y5" s="8">
        <f>(I5*T5+K5*U5+M5*V5+O5*W5)/X5</f>
        <v>158.51400000000001</v>
      </c>
      <c r="Z5" s="8">
        <f t="shared" si="2"/>
        <v>12.824811577563233</v>
      </c>
      <c r="AA5" s="20">
        <f t="shared" si="3"/>
        <v>0.88425879439033372</v>
      </c>
      <c r="AB5" s="33"/>
      <c r="AC5" s="8">
        <f t="shared" si="0"/>
        <v>20.748000000000001</v>
      </c>
      <c r="AD5" s="8">
        <f>SQRT((((H5-$Z5)^2)*T5+((J5-$Z5)^2)*U5+((L5-$Z5)^2)*V5+((N5-$Z5)^2)*W5)/(X5-1))</f>
        <v>9.7212365554055928</v>
      </c>
      <c r="AE5" s="9">
        <f>AC5/(Y5+AC5)</f>
        <v>0.1157412056096663</v>
      </c>
      <c r="AF5" s="4">
        <f>Y5+AC5</f>
        <v>179.262</v>
      </c>
      <c r="AG5" s="4">
        <f>SQRT((((H5+I5-$AF5)^2)*T5+((J5+K5-$AF5)^2)*U5+((L5+M5-$AF5)^2)*V5+((N5+O5-$AF5)^2)*W5)/(X5-1))</f>
        <v>12.675489576343782</v>
      </c>
      <c r="AH5" s="20">
        <f t="shared" si="4"/>
        <v>7.0709294643280685E-2</v>
      </c>
      <c r="AJ5" s="8">
        <f t="shared" si="5"/>
        <v>13080.300291386717</v>
      </c>
    </row>
    <row r="6" spans="1:36" s="7" customFormat="1" x14ac:dyDescent="0.2">
      <c r="A6" s="5">
        <v>38657</v>
      </c>
      <c r="B6" s="6">
        <v>0.91666666666666663</v>
      </c>
      <c r="C6" s="29"/>
      <c r="D6" s="7">
        <v>23</v>
      </c>
      <c r="E6" s="7">
        <v>186.95833300000001</v>
      </c>
      <c r="F6" s="5">
        <v>44747</v>
      </c>
      <c r="G6" s="7" t="s">
        <v>27</v>
      </c>
      <c r="H6" s="7">
        <f>og!H6*0.18</f>
        <v>20.663999999999998</v>
      </c>
      <c r="I6" s="7">
        <f>og!I6*0.18</f>
        <v>173.142</v>
      </c>
      <c r="J6" s="7">
        <f>og!J6*0.18</f>
        <v>21.312000000000001</v>
      </c>
      <c r="K6" s="7">
        <f>og!K6*0.18</f>
        <v>144.77399999999997</v>
      </c>
      <c r="L6" s="7">
        <f>og!L6*0.18</f>
        <v>20.213999999999999</v>
      </c>
      <c r="M6" s="7">
        <f>og!M6*0.18</f>
        <v>153.19800000000001</v>
      </c>
      <c r="N6" s="7">
        <f>og!N6*0.18</f>
        <v>21.366</v>
      </c>
      <c r="O6" s="7">
        <f>og!O6*0.18</f>
        <v>149.202</v>
      </c>
      <c r="P6" s="7">
        <f>og!P6*0.18</f>
        <v>193.82399999999998</v>
      </c>
      <c r="Q6" s="7">
        <f>og!Q6*0.18</f>
        <v>166.08600000000001</v>
      </c>
      <c r="R6" s="7">
        <f>og!R6*0.18</f>
        <v>173.41199999999998</v>
      </c>
      <c r="S6" s="7">
        <f>og!S6*0.18</f>
        <v>170.56799999999998</v>
      </c>
      <c r="T6" s="7">
        <v>1</v>
      </c>
      <c r="U6" s="7">
        <v>0</v>
      </c>
      <c r="V6" s="7">
        <v>1</v>
      </c>
      <c r="W6" s="7">
        <v>1</v>
      </c>
      <c r="X6" s="7">
        <v>3</v>
      </c>
      <c r="Y6" s="8">
        <f t="shared" si="1"/>
        <v>158.51400000000001</v>
      </c>
      <c r="Z6" s="8">
        <f t="shared" si="2"/>
        <v>12.824811577563233</v>
      </c>
      <c r="AA6" s="20">
        <f t="shared" si="3"/>
        <v>0.88425879439033372</v>
      </c>
      <c r="AB6" s="33"/>
      <c r="AC6" s="8">
        <f t="shared" si="0"/>
        <v>20.748000000000001</v>
      </c>
      <c r="AD6" s="8">
        <f>SQRT((((H6-$Z6)^2)*T6+((J6-$Z6)^2)*U6+((L6-$Z6)^2)*V6+((N6-$Z6)^2)*W6)/(X6-1))</f>
        <v>9.7212365554055928</v>
      </c>
      <c r="AE6" s="9">
        <f>AC6/(Y6+AC6)</f>
        <v>0.1157412056096663</v>
      </c>
      <c r="AF6" s="4">
        <f>Y6+AC6</f>
        <v>179.262</v>
      </c>
      <c r="AG6" s="4">
        <f>SQRT((((H6+I6-$AF6)^2)*T6+((J6+K6-$AF6)^2)*U6+((L6+M6-$AF6)^2)*V6+((N6+O6-$AF6)^2)*W6)/(X6-1))</f>
        <v>12.675489576343782</v>
      </c>
      <c r="AH6" s="20">
        <f t="shared" si="4"/>
        <v>7.0709294643280685E-2</v>
      </c>
      <c r="AJ6" s="8">
        <f t="shared" si="5"/>
        <v>13080.300291386717</v>
      </c>
    </row>
    <row r="7" spans="1:36" s="7" customFormat="1" x14ac:dyDescent="0.2">
      <c r="A7" s="5">
        <v>39022</v>
      </c>
      <c r="B7" s="6">
        <v>4.1666666666666664E-2</v>
      </c>
      <c r="C7" s="29"/>
      <c r="D7" s="7">
        <v>2</v>
      </c>
      <c r="E7" s="7">
        <v>187.08333300000001</v>
      </c>
      <c r="F7" s="5">
        <v>44748</v>
      </c>
      <c r="G7" s="7" t="s">
        <v>28</v>
      </c>
      <c r="H7" s="7">
        <f>og!H7*0.18</f>
        <v>22.355999999999998</v>
      </c>
      <c r="I7" s="7">
        <f>og!I7*0.18</f>
        <v>55.008000000000003</v>
      </c>
      <c r="J7" s="7">
        <f>og!J7*0.18</f>
        <v>21.276</v>
      </c>
      <c r="K7" s="7">
        <f>og!K7*0.18</f>
        <v>85.427999999999997</v>
      </c>
      <c r="L7" s="7">
        <f>og!L7*0.18</f>
        <v>17.064</v>
      </c>
      <c r="M7" s="7">
        <f>og!M7*0.18</f>
        <v>100.72799999999999</v>
      </c>
      <c r="N7" s="7">
        <f>og!N7*0.18</f>
        <v>19.89</v>
      </c>
      <c r="O7" s="7">
        <f>og!O7*0.18</f>
        <v>60.713999999999999</v>
      </c>
      <c r="P7" s="7">
        <f>og!P7*0.18</f>
        <v>77.381999999999991</v>
      </c>
      <c r="Q7" s="7">
        <f>og!Q7*0.18</f>
        <v>106.70399999999999</v>
      </c>
      <c r="R7" s="7">
        <f>og!R7*0.18</f>
        <v>117.77399999999999</v>
      </c>
      <c r="S7" s="7">
        <f>og!S7*0.18</f>
        <v>80.603999999999999</v>
      </c>
      <c r="T7" s="7">
        <v>1</v>
      </c>
      <c r="U7" s="7">
        <v>1</v>
      </c>
      <c r="V7" s="7">
        <v>1</v>
      </c>
      <c r="W7" s="7">
        <v>1</v>
      </c>
      <c r="X7" s="7">
        <v>4</v>
      </c>
      <c r="Y7" s="8">
        <f t="shared" si="1"/>
        <v>75.469499999999996</v>
      </c>
      <c r="Z7" s="8">
        <f t="shared" si="2"/>
        <v>21.397517823336422</v>
      </c>
      <c r="AA7" s="20">
        <f t="shared" si="3"/>
        <v>0.78929781626506024</v>
      </c>
      <c r="AB7" s="33"/>
      <c r="AC7" s="8">
        <f t="shared" si="0"/>
        <v>20.1465</v>
      </c>
      <c r="AD7" s="8">
        <f>SQRT((((H7-$Z7)^2)*T7+((J7-$Z7)^2)*U7+((L7-$Z7)^2)*V7+((N7-$Z7)^2)*W7)/(X7-1))</f>
        <v>2.707116631967279</v>
      </c>
      <c r="AE7" s="9">
        <f>AC7/(Y7+AC7)</f>
        <v>0.21070218373493976</v>
      </c>
      <c r="AF7" s="4">
        <f>Y7+AC7</f>
        <v>95.616</v>
      </c>
      <c r="AG7" s="4">
        <f>SQRT((((H7+I7-$AF7)^2)*T7+((J7+K7-$AF7)^2)*U7+((L7+M7-$AF7)^2)*V7+((N7+O7-$AF7)^2)*W7)/(X7-1))</f>
        <v>19.775526693365212</v>
      </c>
      <c r="AH7" s="20">
        <f t="shared" si="4"/>
        <v>0.20682235915919106</v>
      </c>
      <c r="AJ7" s="8">
        <f t="shared" si="5"/>
        <v>2532.0306275156245</v>
      </c>
    </row>
    <row r="8" spans="1:36" s="7" customFormat="1" x14ac:dyDescent="0.2">
      <c r="A8" s="5">
        <v>39387</v>
      </c>
      <c r="B8" s="6">
        <v>0.16666666666666666</v>
      </c>
      <c r="C8" s="29"/>
      <c r="D8" s="7">
        <v>5</v>
      </c>
      <c r="E8" s="7">
        <v>187.20833300000001</v>
      </c>
      <c r="F8" s="5">
        <v>44748</v>
      </c>
      <c r="G8" s="7" t="s">
        <v>28</v>
      </c>
      <c r="H8" s="7">
        <f>og!H8*0.18</f>
        <v>22.553999999999998</v>
      </c>
      <c r="I8" s="7">
        <f>og!I8*0.18</f>
        <v>24.497999999999998</v>
      </c>
      <c r="J8" s="7">
        <f>og!J8*0.18</f>
        <v>25.56</v>
      </c>
      <c r="K8" s="7">
        <f>og!K8*0.18</f>
        <v>32.058</v>
      </c>
      <c r="L8" s="7">
        <f>og!L8*0.18</f>
        <v>26.027999999999999</v>
      </c>
      <c r="M8" s="7">
        <f>og!M8*0.18</f>
        <v>-0.89999999999999991</v>
      </c>
      <c r="N8" s="7">
        <f>og!N8*0.18</f>
        <v>22.77</v>
      </c>
      <c r="O8" s="7">
        <f>og!O8*0.18</f>
        <v>21.186</v>
      </c>
      <c r="P8" s="7">
        <f>og!P8*0.18</f>
        <v>47.051999999999992</v>
      </c>
      <c r="Q8" s="7">
        <f>og!Q8*0.18</f>
        <v>57.618000000000002</v>
      </c>
      <c r="R8" s="7">
        <f>og!R8*0.18</f>
        <v>25.11</v>
      </c>
      <c r="S8" s="7">
        <f>og!S8*0.18</f>
        <v>43.955999999999996</v>
      </c>
      <c r="T8" s="7">
        <v>1</v>
      </c>
      <c r="U8" s="7">
        <v>1</v>
      </c>
      <c r="V8" s="7">
        <v>0</v>
      </c>
      <c r="W8" s="7">
        <v>1</v>
      </c>
      <c r="X8" s="7">
        <v>3</v>
      </c>
      <c r="Y8" s="8">
        <f t="shared" si="1"/>
        <v>25.913999999999998</v>
      </c>
      <c r="Z8" s="8">
        <f t="shared" si="2"/>
        <v>5.5726015468540364</v>
      </c>
      <c r="AA8" s="20">
        <f t="shared" si="3"/>
        <v>0.52307133341407286</v>
      </c>
      <c r="AB8" s="33"/>
      <c r="AC8" s="8">
        <f t="shared" si="0"/>
        <v>23.628</v>
      </c>
      <c r="AD8" s="8">
        <f>SQRT((((H8-$Z8)^2)*T8+((J8-$Z8)^2)*U8+((L8-$Z8)^2)*V8+((N8-$Z8)^2)*W8)/(X8-1))</f>
        <v>22.17672771066098</v>
      </c>
      <c r="AE8" s="9">
        <f>AC8/(Y8+AC8)</f>
        <v>0.47692866658592709</v>
      </c>
      <c r="AF8" s="4">
        <f>Y8+AC8</f>
        <v>49.542000000000002</v>
      </c>
      <c r="AG8" s="4">
        <f>SQRT((((H8+I8-$AF8)^2)*T8+((J8+K8-$AF8)^2)*U8+((L8+M8-$AF8)^2)*V8+((N8+O8-$AF8)^2)*W8)/(X8-1))</f>
        <v>7.1632838838063622</v>
      </c>
      <c r="AH8" s="20">
        <f t="shared" si="4"/>
        <v>0.14459012320468212</v>
      </c>
      <c r="AJ8" s="8">
        <f t="shared" si="5"/>
        <v>12585.334536386719</v>
      </c>
    </row>
    <row r="9" spans="1:36" s="7" customFormat="1" x14ac:dyDescent="0.2">
      <c r="A9" s="5">
        <v>39753</v>
      </c>
      <c r="B9" s="6">
        <v>0.29166666666666669</v>
      </c>
      <c r="C9" s="29"/>
      <c r="D9" s="7">
        <v>8</v>
      </c>
      <c r="E9" s="7">
        <v>187.33333300000001</v>
      </c>
      <c r="F9" s="5">
        <v>44748</v>
      </c>
      <c r="G9" s="7" t="s">
        <v>28</v>
      </c>
      <c r="H9" s="7">
        <f>og!H9*0.18</f>
        <v>19.422000000000001</v>
      </c>
      <c r="I9" s="7">
        <f>og!I9*0.18</f>
        <v>6.1919999999999993</v>
      </c>
      <c r="J9" s="7">
        <f>og!J9*0.18</f>
        <v>21.564</v>
      </c>
      <c r="K9" s="7">
        <f>og!K9*0.18</f>
        <v>4.0680000000000005</v>
      </c>
      <c r="L9" s="7">
        <f>og!L9*0.18</f>
        <v>20.7</v>
      </c>
      <c r="M9" s="7">
        <f>og!M9*0.18</f>
        <v>7.9919999999999991</v>
      </c>
      <c r="N9" s="7">
        <f>og!N9*0.18</f>
        <v>24.48</v>
      </c>
      <c r="O9" s="7">
        <f>og!O9*0.18</f>
        <v>-1.1519999999999999</v>
      </c>
      <c r="P9" s="7">
        <f>og!P9*0.18</f>
        <v>25.614000000000001</v>
      </c>
      <c r="Q9" s="7">
        <f>og!Q9*0.18</f>
        <v>25.632000000000001</v>
      </c>
      <c r="R9" s="7">
        <f>og!R9*0.18</f>
        <v>28.673999999999999</v>
      </c>
      <c r="S9" s="7">
        <f>og!S9*0.18</f>
        <v>23.327999999999999</v>
      </c>
      <c r="T9" s="7">
        <v>1</v>
      </c>
      <c r="U9" s="7">
        <v>1</v>
      </c>
      <c r="V9" s="7">
        <v>1</v>
      </c>
      <c r="W9" s="7">
        <v>0</v>
      </c>
      <c r="X9" s="7">
        <v>3</v>
      </c>
      <c r="Y9" s="8">
        <f t="shared" si="1"/>
        <v>6.0839999999999996</v>
      </c>
      <c r="Z9" s="8">
        <f t="shared" si="2"/>
        <v>1.9642280926613378</v>
      </c>
      <c r="AA9" s="20">
        <f t="shared" si="3"/>
        <v>0.22832695338887635</v>
      </c>
      <c r="AB9" s="33"/>
      <c r="AC9" s="8">
        <f t="shared" si="0"/>
        <v>20.562000000000001</v>
      </c>
      <c r="AD9" s="8">
        <f>SQRT((((H9-$Z9)^2)*T9+((J9-$Z9)^2)*U9+((L9-$Z9)^2)*V9+((N9-$Z9)^2)*W9)/(X9-1))</f>
        <v>22.803004273035885</v>
      </c>
      <c r="AE9" s="9">
        <f>AC9/(Y9+AC9)</f>
        <v>0.77167304661112368</v>
      </c>
      <c r="AF9" s="4">
        <f>Y9+AC9</f>
        <v>26.646000000000001</v>
      </c>
      <c r="AG9" s="4">
        <f>SQRT((((H9+I9-$AF9)^2)*T9+((J9+K9-$AF9)^2)*U9+((L9+M9-$AF9)^2)*V9+((N9+O9-$AF9)^2)*W9)/(X9-1))</f>
        <v>1.7719108329710043</v>
      </c>
      <c r="AH9" s="20">
        <f t="shared" si="4"/>
        <v>6.6498192335472647E-2</v>
      </c>
      <c r="AJ9" s="8">
        <f t="shared" si="5"/>
        <v>22923.116514386715</v>
      </c>
    </row>
    <row r="10" spans="1:36" s="12" customFormat="1" x14ac:dyDescent="0.2">
      <c r="A10" s="10">
        <v>37197</v>
      </c>
      <c r="B10" s="11">
        <v>0.29166666666666669</v>
      </c>
      <c r="C10" s="30">
        <v>209</v>
      </c>
      <c r="D10" s="12">
        <v>8</v>
      </c>
      <c r="E10" s="12">
        <v>209.33333300000001</v>
      </c>
      <c r="F10" s="10">
        <v>44770</v>
      </c>
      <c r="G10" s="12" t="s">
        <v>29</v>
      </c>
      <c r="H10" s="12">
        <f>og!H10*0.18</f>
        <v>30.977999999999998</v>
      </c>
      <c r="I10" s="12">
        <f>og!I10*0.18</f>
        <v>25.884</v>
      </c>
      <c r="J10" s="12">
        <f>og!J10*0.18</f>
        <v>30.275999999999996</v>
      </c>
      <c r="K10" s="12">
        <f>og!K10*0.18</f>
        <v>2.214</v>
      </c>
      <c r="L10" s="12">
        <f>og!L10*0.18</f>
        <v>28.763999999999999</v>
      </c>
      <c r="M10" s="12">
        <f>og!M10*0.18</f>
        <v>324.16199999999998</v>
      </c>
      <c r="N10" s="12">
        <f>og!N10*0.18</f>
        <v>38.213999999999999</v>
      </c>
      <c r="O10" s="12">
        <f>og!O10*0.18</f>
        <v>18.756</v>
      </c>
      <c r="P10" s="12">
        <f>og!P10*0.18</f>
        <v>56.861999999999995</v>
      </c>
      <c r="Q10" s="12">
        <f>og!Q10*0.18</f>
        <v>32.507999999999996</v>
      </c>
      <c r="R10" s="12">
        <f>og!R10*0.18</f>
        <v>352.90799999999996</v>
      </c>
      <c r="S10" s="12">
        <f>og!S10*0.18</f>
        <v>56.97</v>
      </c>
      <c r="T10" s="12">
        <v>1</v>
      </c>
      <c r="U10" s="12">
        <v>0</v>
      </c>
      <c r="V10" s="12">
        <v>0</v>
      </c>
      <c r="W10" s="12">
        <v>1</v>
      </c>
      <c r="X10" s="12">
        <v>2</v>
      </c>
      <c r="Y10" s="13">
        <f t="shared" si="1"/>
        <v>22.32</v>
      </c>
      <c r="Z10" s="13">
        <f t="shared" si="2"/>
        <v>5.0402571362977113</v>
      </c>
      <c r="AA10" s="21">
        <f t="shared" si="3"/>
        <v>0.39215686274509809</v>
      </c>
      <c r="AB10" s="34">
        <f>AVERAGE(AA10:AA11)</f>
        <v>0.55819895006057352</v>
      </c>
      <c r="AC10" s="13">
        <f t="shared" si="0"/>
        <v>34.595999999999997</v>
      </c>
      <c r="AD10" s="13">
        <f>SQRT((((H10-$Z10)^2)*T10+((J10-$Z10)^2)*U10+((L10-$Z10)^2)*V10+((N10-$Z10)^2)*W10)/(X10-1))</f>
        <v>42.110137977102106</v>
      </c>
      <c r="AE10" s="14">
        <f>AC10/(Y10+AC10)</f>
        <v>0.60784313725490191</v>
      </c>
      <c r="AF10" s="13">
        <f>Y10+AC10</f>
        <v>56.915999999999997</v>
      </c>
      <c r="AG10" s="13">
        <f>SQRT((((H10+I10-$AF10)^2)*T10+((J10+K10-$AF10)^2)*U10+((L10+M10-$AF10)^2)*V10+((N10+O10-$AF10)^2)*W10)/(X10-1))</f>
        <v>7.6367532368150026E-2</v>
      </c>
      <c r="AH10" s="21">
        <f t="shared" si="4"/>
        <v>1.3417585980769911E-3</v>
      </c>
      <c r="AJ10" s="8">
        <f t="shared" si="5"/>
        <v>6527.9224367578117</v>
      </c>
    </row>
    <row r="11" spans="1:36" s="12" customFormat="1" x14ac:dyDescent="0.2">
      <c r="A11" s="10">
        <v>37562</v>
      </c>
      <c r="B11" s="11">
        <v>0.54166666666666663</v>
      </c>
      <c r="C11" s="30"/>
      <c r="D11" s="12">
        <v>13</v>
      </c>
      <c r="E11" s="12">
        <v>209.54166699999999</v>
      </c>
      <c r="F11" s="10">
        <v>44770</v>
      </c>
      <c r="G11" s="12" t="s">
        <v>29</v>
      </c>
      <c r="H11" s="12">
        <f>og!H11*0.18</f>
        <v>33.875999999999998</v>
      </c>
      <c r="I11" s="12">
        <f>og!I11*0.18</f>
        <v>39.294000000000004</v>
      </c>
      <c r="J11" s="12">
        <f>og!J11*0.18</f>
        <v>44.423999999999999</v>
      </c>
      <c r="K11" s="12">
        <f>og!K11*0.18</f>
        <v>129.52799999999999</v>
      </c>
      <c r="L11" s="12">
        <f>og!L11*0.18</f>
        <v>36.089999999999996</v>
      </c>
      <c r="M11" s="12">
        <f>og!M11*0.18</f>
        <v>161.04599999999999</v>
      </c>
      <c r="N11" s="12">
        <f>og!N11*0.18</f>
        <v>48.293999999999997</v>
      </c>
      <c r="O11" s="12">
        <f>og!O11*0.18</f>
        <v>97.397999999999996</v>
      </c>
      <c r="P11" s="12">
        <f>og!P11*0.18</f>
        <v>73.17</v>
      </c>
      <c r="Q11" s="12">
        <f>og!Q11*0.18</f>
        <v>173.952</v>
      </c>
      <c r="R11" s="12">
        <f>og!R11*0.18</f>
        <v>197.136</v>
      </c>
      <c r="S11" s="12">
        <f>og!S11*0.18</f>
        <v>145.67399999999998</v>
      </c>
      <c r="T11" s="12">
        <v>1</v>
      </c>
      <c r="U11" s="12">
        <v>1</v>
      </c>
      <c r="V11" s="12">
        <v>1</v>
      </c>
      <c r="W11" s="12">
        <v>1</v>
      </c>
      <c r="X11" s="12">
        <v>4</v>
      </c>
      <c r="Y11" s="13">
        <f t="shared" si="1"/>
        <v>106.81649999999999</v>
      </c>
      <c r="Z11" s="13">
        <f t="shared" si="2"/>
        <v>51.976427512863935</v>
      </c>
      <c r="AA11" s="21">
        <f t="shared" si="3"/>
        <v>0.72424103737604884</v>
      </c>
      <c r="AB11" s="34"/>
      <c r="AC11" s="13">
        <f t="shared" si="0"/>
        <v>40.670999999999992</v>
      </c>
      <c r="AD11" s="13">
        <f>SQRT((((H11-$Z11)^2)*T11+((J11-$Z11)^2)*U11+((L11-$Z11)^2)*V11+((N11-$Z11)^2)*W11)/(X11-1))</f>
        <v>14.726433025849397</v>
      </c>
      <c r="AE11" s="14">
        <f>AC11/(Y11+AC11)</f>
        <v>0.27575896262395116</v>
      </c>
      <c r="AF11" s="13">
        <f>Y11+AC11</f>
        <v>147.48749999999998</v>
      </c>
      <c r="AG11" s="13">
        <f>SQRT((((H11+I11-$AF11)^2)*T11+((J11+K11-$AF11)^2)*U11+((L11+M11-$AF11)^2)*V11+((N11+O11-$AF11)^2)*W11)/(X11-1))</f>
        <v>53.825823848780985</v>
      </c>
      <c r="AH11" s="21">
        <f t="shared" si="4"/>
        <v>0.36495176776866506</v>
      </c>
      <c r="AJ11" s="8">
        <f t="shared" si="5"/>
        <v>13164.709379765625</v>
      </c>
    </row>
    <row r="12" spans="1:36" s="24" customFormat="1" x14ac:dyDescent="0.2">
      <c r="A12" s="22">
        <v>37198</v>
      </c>
      <c r="B12" s="23">
        <v>0.29166666666666669</v>
      </c>
      <c r="C12" s="31">
        <v>236</v>
      </c>
      <c r="D12" s="24">
        <v>8</v>
      </c>
      <c r="E12" s="24">
        <v>236.33333300000001</v>
      </c>
      <c r="F12" s="22">
        <v>44797</v>
      </c>
      <c r="G12" s="24" t="s">
        <v>30</v>
      </c>
      <c r="H12" s="24">
        <f>og!H12*0.18</f>
        <v>15.803999999999998</v>
      </c>
      <c r="I12" s="24">
        <f>og!I12*0.18</f>
        <v>185.85</v>
      </c>
      <c r="J12" s="24">
        <f>og!J12*0.18</f>
        <v>15.012</v>
      </c>
      <c r="K12" s="24">
        <f>og!K12*0.18</f>
        <v>-0.70199999999999996</v>
      </c>
      <c r="L12" s="24">
        <f>og!L12*0.18</f>
        <v>14.237999999999998</v>
      </c>
      <c r="M12" s="24">
        <f>og!M12*0.18</f>
        <v>113.202</v>
      </c>
      <c r="N12" s="24">
        <f>og!N12*0.18</f>
        <v>15.606</v>
      </c>
      <c r="O12" s="24">
        <f>og!O12*0.18</f>
        <v>88.83</v>
      </c>
      <c r="P12" s="24">
        <f>og!P12*0.18</f>
        <v>201.654</v>
      </c>
      <c r="Q12" s="24">
        <f>og!Q12*0.18</f>
        <v>14.292</v>
      </c>
      <c r="R12" s="24">
        <f>og!R12*0.18</f>
        <v>127.44</v>
      </c>
      <c r="S12" s="24">
        <f>og!S12*0.18</f>
        <v>104.43600000000001</v>
      </c>
      <c r="T12" s="24">
        <v>1</v>
      </c>
      <c r="U12" s="24">
        <v>0</v>
      </c>
      <c r="V12" s="24">
        <v>1</v>
      </c>
      <c r="W12" s="24">
        <v>1</v>
      </c>
      <c r="X12" s="24">
        <v>3</v>
      </c>
      <c r="Y12" s="25">
        <f t="shared" si="1"/>
        <v>129.29400000000001</v>
      </c>
      <c r="Z12" s="25">
        <f t="shared" si="2"/>
        <v>50.472115549083142</v>
      </c>
      <c r="AA12" s="27">
        <f t="shared" si="3"/>
        <v>0.89470624870251192</v>
      </c>
      <c r="AB12" s="35">
        <f>AVERAGE(AA12:AA14)</f>
        <v>0.92088309745456287</v>
      </c>
      <c r="AC12" s="25">
        <f t="shared" si="0"/>
        <v>15.215999999999999</v>
      </c>
      <c r="AD12" s="25">
        <f>SQRT((((H12-$Z12)^2)*T12+((J12-$Z12)^2)*U12+((L12-$Z12)^2)*V12+((N12-$Z12)^2)*W12)/(X12-1))</f>
        <v>43.188166080715362</v>
      </c>
      <c r="AE12" s="26">
        <f>AC12/(Y12+AC12)</f>
        <v>0.10529375129748804</v>
      </c>
      <c r="AF12" s="25">
        <f>Y12+AC12</f>
        <v>144.51000000000002</v>
      </c>
      <c r="AG12" s="25">
        <f>SQRT((((H12+I12-$AF12)^2)*T12+((J12+K12-$AF12)^2)*U12+((L12+M12-$AF12)^2)*V12+((N12+O12-$AF12)^2)*W12)/(X12-1))</f>
        <v>50.807219526362594</v>
      </c>
      <c r="AH12" s="27">
        <f t="shared" si="4"/>
        <v>0.35158272456136314</v>
      </c>
      <c r="AJ12" s="8">
        <f t="shared" si="5"/>
        <v>7946.7187953867187</v>
      </c>
    </row>
    <row r="13" spans="1:36" s="24" customFormat="1" x14ac:dyDescent="0.2">
      <c r="A13" s="22">
        <v>37563</v>
      </c>
      <c r="B13" s="23">
        <v>0.54166666666666663</v>
      </c>
      <c r="C13" s="31"/>
      <c r="D13" s="24">
        <v>13</v>
      </c>
      <c r="E13" s="24">
        <v>236.54166699999999</v>
      </c>
      <c r="F13" s="22">
        <v>44797</v>
      </c>
      <c r="G13" s="24" t="s">
        <v>30</v>
      </c>
      <c r="H13" s="24">
        <f>og!H13*0.18</f>
        <v>15.696</v>
      </c>
      <c r="I13" s="24">
        <f>og!I13*0.18</f>
        <v>212.184</v>
      </c>
      <c r="J13" s="24">
        <f>og!J13*0.18</f>
        <v>12.473999999999998</v>
      </c>
      <c r="K13" s="24">
        <f>og!K13*0.18</f>
        <v>195.39</v>
      </c>
      <c r="L13" s="24">
        <f>og!L13*0.18</f>
        <v>19.8</v>
      </c>
      <c r="M13" s="24">
        <f>og!M13*0.18</f>
        <v>171.61199999999999</v>
      </c>
      <c r="N13" s="24">
        <f>og!N13*0.18</f>
        <v>13.752000000000001</v>
      </c>
      <c r="O13" s="24">
        <f>og!O13*0.18</f>
        <v>201.27600000000001</v>
      </c>
      <c r="P13" s="24">
        <f>og!P13*0.18</f>
        <v>227.88</v>
      </c>
      <c r="Q13" s="24">
        <f>og!Q13*0.18</f>
        <v>207.88200000000001</v>
      </c>
      <c r="R13" s="24">
        <f>og!R13*0.18</f>
        <v>191.41200000000001</v>
      </c>
      <c r="S13" s="24">
        <f>og!S13*0.18</f>
        <v>215.02799999999996</v>
      </c>
      <c r="T13" s="24">
        <v>1</v>
      </c>
      <c r="U13" s="24">
        <v>1</v>
      </c>
      <c r="V13" s="24">
        <v>1</v>
      </c>
      <c r="W13" s="24">
        <v>1</v>
      </c>
      <c r="X13" s="24">
        <v>4</v>
      </c>
      <c r="Y13" s="25">
        <f t="shared" si="1"/>
        <v>195.1155</v>
      </c>
      <c r="Z13" s="25">
        <f t="shared" si="2"/>
        <v>17.144244077823906</v>
      </c>
      <c r="AA13" s="27">
        <f t="shared" si="3"/>
        <v>0.92671197743011036</v>
      </c>
      <c r="AB13" s="35"/>
      <c r="AC13" s="25">
        <f t="shared" si="0"/>
        <v>15.4305</v>
      </c>
      <c r="AD13" s="25">
        <f>SQRT((((H13-$Z13)^2)*T13+((J13-$Z13)^2)*U13+((L13-$Z13)^2)*V13+((N13-$Z13)^2)*W13)/(X13-1))</f>
        <v>3.7624880977488844</v>
      </c>
      <c r="AE13" s="26">
        <f>AC13/(Y13+AC13)</f>
        <v>7.3288022569889713E-2</v>
      </c>
      <c r="AF13" s="25">
        <f>Y13+AC13</f>
        <v>210.54599999999999</v>
      </c>
      <c r="AG13" s="25">
        <f>SQRT((((H13+I13-$AF13)^2)*T13+((J13+K13-$AF13)^2)*U13+((L13+M13-$AF13)^2)*V13+((N13+O13-$AF13)^2)*W13)/(X13-1))</f>
        <v>15.208100473103141</v>
      </c>
      <c r="AH13" s="27">
        <f t="shared" si="4"/>
        <v>7.2231723581085094E-2</v>
      </c>
      <c r="AJ13" s="8">
        <f t="shared" si="5"/>
        <v>37942.038714515627</v>
      </c>
    </row>
    <row r="14" spans="1:36" s="24" customFormat="1" x14ac:dyDescent="0.2">
      <c r="A14" s="22">
        <v>37928</v>
      </c>
      <c r="B14" s="23">
        <v>0.79166666666666663</v>
      </c>
      <c r="C14" s="31"/>
      <c r="D14" s="24">
        <v>20</v>
      </c>
      <c r="E14" s="24">
        <v>236.83333300000001</v>
      </c>
      <c r="F14" s="22">
        <v>44797</v>
      </c>
      <c r="G14" s="24" t="s">
        <v>30</v>
      </c>
      <c r="H14" s="24">
        <f>og!H14*0.18</f>
        <v>15.03</v>
      </c>
      <c r="I14" s="24">
        <f>og!I14*0.18</f>
        <v>292.10399999999998</v>
      </c>
      <c r="J14" s="24">
        <f>og!J14*0.18</f>
        <v>15.623999999999999</v>
      </c>
      <c r="K14" s="24">
        <f>og!K14*0.18</f>
        <v>211.41</v>
      </c>
      <c r="L14" s="24">
        <f>og!L14*0.18</f>
        <v>12.33</v>
      </c>
      <c r="M14" s="24">
        <f>og!M14*0.18</f>
        <v>215.44200000000001</v>
      </c>
      <c r="N14" s="24">
        <f>og!N14*0.18</f>
        <v>14.004</v>
      </c>
      <c r="O14" s="24">
        <f>og!O14*0.18</f>
        <v>193.75200000000001</v>
      </c>
      <c r="P14" s="24">
        <f>og!P14*0.18</f>
        <v>307.11599999999999</v>
      </c>
      <c r="Q14" s="24">
        <f>og!Q14*0.18</f>
        <v>227.03399999999999</v>
      </c>
      <c r="R14" s="24">
        <f>og!R14*0.18</f>
        <v>227.77200000000002</v>
      </c>
      <c r="S14" s="24">
        <f>og!S14*0.18</f>
        <v>207.756</v>
      </c>
      <c r="T14" s="24">
        <v>1</v>
      </c>
      <c r="U14" s="24">
        <v>1</v>
      </c>
      <c r="V14" s="24">
        <v>1</v>
      </c>
      <c r="W14" s="24">
        <v>1</v>
      </c>
      <c r="X14" s="24">
        <v>4</v>
      </c>
      <c r="Y14" s="25">
        <f t="shared" si="1"/>
        <v>228.17700000000002</v>
      </c>
      <c r="Z14" s="25">
        <f t="shared" si="2"/>
        <v>43.646513675206627</v>
      </c>
      <c r="AA14" s="27">
        <f t="shared" si="3"/>
        <v>0.94123106623106634</v>
      </c>
      <c r="AB14" s="35"/>
      <c r="AC14" s="25">
        <f t="shared" si="0"/>
        <v>14.246999999999998</v>
      </c>
      <c r="AD14" s="25">
        <f>SQRT((((H14-$Z14)^2)*T14+((J14-$Z14)^2)*U14+((L14-$Z14)^2)*V14+((N14-$Z14)^2)*W14)/(X14-1))</f>
        <v>33.978271357612485</v>
      </c>
      <c r="AE14" s="26">
        <f>AC14/(Y14+AC14)</f>
        <v>5.8768933768933759E-2</v>
      </c>
      <c r="AF14" s="25">
        <f>Y14+AC14</f>
        <v>242.42400000000001</v>
      </c>
      <c r="AG14" s="25">
        <f>SQRT((((H14+I14-$AF14)^2)*T14+((J14+K14-$AF14)^2)*U14+((L14+M14-$AF14)^2)*V14+((N14+O14-$AF14)^2)*W14)/(X14-1))</f>
        <v>44.124020397058082</v>
      </c>
      <c r="AH14" s="27">
        <f t="shared" si="4"/>
        <v>0.18201176614963074</v>
      </c>
      <c r="AJ14" s="8">
        <f t="shared" si="5"/>
        <v>71763.339855515616</v>
      </c>
    </row>
    <row r="15" spans="1:36" s="17" customFormat="1" x14ac:dyDescent="0.2">
      <c r="A15" s="15">
        <v>37199</v>
      </c>
      <c r="B15" s="16">
        <v>0.29166666666666669</v>
      </c>
      <c r="C15" s="32">
        <v>258</v>
      </c>
      <c r="D15" s="17">
        <v>8</v>
      </c>
      <c r="E15" s="17">
        <v>258.33333299999998</v>
      </c>
      <c r="F15" s="15">
        <v>44819</v>
      </c>
      <c r="G15" s="17" t="s">
        <v>31</v>
      </c>
      <c r="H15" s="17">
        <f>og!H15*0.18</f>
        <v>12.33</v>
      </c>
      <c r="I15" s="17">
        <f>og!I15*0.18</f>
        <v>42.065999999999995</v>
      </c>
      <c r="J15" s="17">
        <f>og!J15*0.18</f>
        <v>10.601999999999999</v>
      </c>
      <c r="K15" s="17">
        <f>og!K15*0.18</f>
        <v>39.204000000000001</v>
      </c>
      <c r="L15" s="17">
        <f>og!L15*0.18</f>
        <v>11.807999999999998</v>
      </c>
      <c r="M15" s="17">
        <f>og!M15*0.18</f>
        <v>21.869999999999997</v>
      </c>
      <c r="N15" s="17">
        <f>og!N15*0.18</f>
        <v>12.977999999999998</v>
      </c>
      <c r="O15" s="17">
        <f>og!O15*0.18</f>
        <v>106.32600000000001</v>
      </c>
      <c r="P15" s="17">
        <f>og!P15*0.18</f>
        <v>54.378</v>
      </c>
      <c r="Q15" s="17">
        <f>og!Q15*0.18</f>
        <v>49.805999999999997</v>
      </c>
      <c r="R15" s="17">
        <f>og!R15*0.18</f>
        <v>33.695999999999998</v>
      </c>
      <c r="S15" s="17">
        <f>og!S15*0.18</f>
        <v>119.30399999999999</v>
      </c>
      <c r="T15" s="17">
        <v>1</v>
      </c>
      <c r="U15" s="17">
        <v>1</v>
      </c>
      <c r="V15" s="17">
        <v>1</v>
      </c>
      <c r="W15" s="17">
        <v>0</v>
      </c>
      <c r="X15" s="17">
        <v>3</v>
      </c>
      <c r="Y15" s="18">
        <f t="shared" si="1"/>
        <v>34.379999999999995</v>
      </c>
      <c r="Z15" s="18">
        <f t="shared" si="2"/>
        <v>10.928075585390138</v>
      </c>
      <c r="AA15" s="28">
        <f t="shared" si="3"/>
        <v>0.74804177545691908</v>
      </c>
      <c r="AB15" s="36">
        <f>AVERAGE(AA15:AA17)</f>
        <v>0.63982732890266025</v>
      </c>
      <c r="AC15" s="18">
        <f t="shared" si="0"/>
        <v>11.579999999999998</v>
      </c>
      <c r="AD15" s="18">
        <f>SQRT((((H15-$Z15)^2)*T15+((J15-$Z15)^2)*U15+((L15-$Z15)^2)*V15+((N15-$Z15)^2)*W15)/(X15-1))</f>
        <v>1.1928923520362666</v>
      </c>
      <c r="AE15" s="19">
        <f>AC15/(Y15+AC15)</f>
        <v>0.25195822454308092</v>
      </c>
      <c r="AF15" s="18">
        <f>Y15+AC15</f>
        <v>45.959999999999994</v>
      </c>
      <c r="AG15" s="18">
        <f>SQRT((((H15+I15-$AF15)^2)*T15+((J15+K15-$AF15)^2)*U15+((L15+M15-$AF15)^2)*V15+((N15+O15-$AF15)^2)*W15)/(X15-1))</f>
        <v>10.88129900333595</v>
      </c>
      <c r="AH15" s="28">
        <f t="shared" si="4"/>
        <v>0.23675585298816257</v>
      </c>
      <c r="AJ15" s="8">
        <f t="shared" si="5"/>
        <v>14144.349575636719</v>
      </c>
    </row>
    <row r="16" spans="1:36" s="17" customFormat="1" x14ac:dyDescent="0.2">
      <c r="A16" s="15">
        <v>37564</v>
      </c>
      <c r="B16" s="16">
        <v>0.54166666666666663</v>
      </c>
      <c r="C16" s="32"/>
      <c r="D16" s="17">
        <v>13</v>
      </c>
      <c r="E16" s="17">
        <v>258.54166700000002</v>
      </c>
      <c r="F16" s="15">
        <v>44819</v>
      </c>
      <c r="G16" s="17" t="s">
        <v>31</v>
      </c>
      <c r="H16" s="17">
        <f>og!H16*0.18</f>
        <v>9.3060000000000009</v>
      </c>
      <c r="I16" s="17">
        <f>og!I16*0.18</f>
        <v>-0.64800000000000002</v>
      </c>
      <c r="J16" s="17">
        <f>og!J16*0.18</f>
        <v>11.465999999999999</v>
      </c>
      <c r="K16" s="17">
        <f>og!K16*0.18</f>
        <v>37.53</v>
      </c>
      <c r="L16" s="17">
        <f>og!L16*0.18</f>
        <v>14.49</v>
      </c>
      <c r="M16" s="17">
        <f>og!M16*0.18</f>
        <v>11.411999999999999</v>
      </c>
      <c r="N16" s="17">
        <f>og!N16*0.18</f>
        <v>13.356</v>
      </c>
      <c r="O16" s="17">
        <f>og!O16*0.18</f>
        <v>17.064</v>
      </c>
      <c r="P16" s="17">
        <f>og!P16*0.18</f>
        <v>8.64</v>
      </c>
      <c r="Q16" s="17">
        <f>og!Q16*0.18</f>
        <v>48.995999999999995</v>
      </c>
      <c r="R16" s="17">
        <f>og!R16*0.18</f>
        <v>25.902000000000001</v>
      </c>
      <c r="S16" s="17">
        <f>og!S16*0.18</f>
        <v>30.419999999999998</v>
      </c>
      <c r="T16" s="17">
        <v>0</v>
      </c>
      <c r="U16" s="17">
        <v>1</v>
      </c>
      <c r="V16" s="17">
        <v>1</v>
      </c>
      <c r="W16" s="17">
        <v>1</v>
      </c>
      <c r="X16" s="17">
        <v>3</v>
      </c>
      <c r="Y16" s="18">
        <f t="shared" si="1"/>
        <v>22.001999999999999</v>
      </c>
      <c r="Z16" s="18">
        <f t="shared" si="2"/>
        <v>13.741374167091152</v>
      </c>
      <c r="AA16" s="28">
        <f t="shared" si="3"/>
        <v>0.62673047342334653</v>
      </c>
      <c r="AB16" s="36"/>
      <c r="AC16" s="18">
        <f t="shared" si="0"/>
        <v>13.103999999999999</v>
      </c>
      <c r="AD16" s="18">
        <f>SQRT((((H16-$Z16)^2)*T16+((J16-$Z16)^2)*U16+((L16-$Z16)^2)*V16+((N16-$Z16)^2)*W16)/(X16-1))</f>
        <v>1.7155584348289368</v>
      </c>
      <c r="AE16" s="19">
        <f>AC16/(Y16+AC16)</f>
        <v>0.37326952657665358</v>
      </c>
      <c r="AF16" s="18">
        <f>Y16+AC16</f>
        <v>35.105999999999995</v>
      </c>
      <c r="AG16" s="18">
        <f>SQRT((((H16+I16-$AF16)^2)*T16+((J16+K16-$AF16)^2)*U16+((L16+M16-$AF16)^2)*V16+((N16+O16-$AF16)^2)*W16)/(X16-1))</f>
        <v>12.23936910138754</v>
      </c>
      <c r="AH16" s="28">
        <f t="shared" si="4"/>
        <v>0.34864037775273576</v>
      </c>
      <c r="AJ16" s="8">
        <f t="shared" si="5"/>
        <v>18994.678357886714</v>
      </c>
    </row>
    <row r="17" spans="1:36" s="17" customFormat="1" x14ac:dyDescent="0.2">
      <c r="A17" s="15">
        <v>37929</v>
      </c>
      <c r="B17" s="16">
        <v>0.79166666666666663</v>
      </c>
      <c r="C17" s="32"/>
      <c r="D17" s="17">
        <v>20</v>
      </c>
      <c r="E17" s="17">
        <v>258.83333299999998</v>
      </c>
      <c r="F17" s="15">
        <v>44819</v>
      </c>
      <c r="G17" s="17" t="s">
        <v>31</v>
      </c>
      <c r="H17" s="17">
        <f>og!H17*0.18</f>
        <v>10.386000000000001</v>
      </c>
      <c r="I17" s="17">
        <f>og!I17*0.18</f>
        <v>24.407999999999998</v>
      </c>
      <c r="J17" s="17">
        <f>og!J17*0.18</f>
        <v>11.916</v>
      </c>
      <c r="K17" s="17">
        <f>og!K17*0.18</f>
        <v>84.923999999999992</v>
      </c>
      <c r="L17" s="17">
        <f>og!L17*0.18</f>
        <v>12.672000000000001</v>
      </c>
      <c r="M17" s="17">
        <f>og!M17*0.18</f>
        <v>17.567999999999998</v>
      </c>
      <c r="N17" s="17">
        <f>og!N17*0.18</f>
        <v>11.952</v>
      </c>
      <c r="O17" s="17">
        <f>og!O17*0.18</f>
        <v>-0.09</v>
      </c>
      <c r="P17" s="17">
        <f>og!P17*0.18</f>
        <v>34.794000000000004</v>
      </c>
      <c r="Q17" s="17">
        <f>og!Q17*0.18</f>
        <v>96.84</v>
      </c>
      <c r="R17" s="17">
        <f>og!R17*0.18</f>
        <v>30.257999999999999</v>
      </c>
      <c r="S17" s="17">
        <f>og!S17*0.18</f>
        <v>11.862</v>
      </c>
      <c r="T17" s="17">
        <v>1</v>
      </c>
      <c r="U17" s="17">
        <v>0</v>
      </c>
      <c r="V17" s="17">
        <v>1</v>
      </c>
      <c r="W17" s="17">
        <v>1</v>
      </c>
      <c r="X17" s="17">
        <v>3</v>
      </c>
      <c r="Y17" s="18">
        <f t="shared" si="1"/>
        <v>13.961999999999998</v>
      </c>
      <c r="Z17" s="18">
        <f>SQRT((((I17-$Y17)^2)*T17+((K17-$Y17)^2)*U17+((M17-$Y17)^2)*V17+((O17-$Y17)^2)*W17)/(X17-1))</f>
        <v>12.640823865555598</v>
      </c>
      <c r="AA17" s="28">
        <f t="shared" si="3"/>
        <v>0.54470973782771537</v>
      </c>
      <c r="AB17" s="36"/>
      <c r="AC17" s="18">
        <f t="shared" si="0"/>
        <v>11.67</v>
      </c>
      <c r="AD17" s="18">
        <f>SQRT((((H17-$Z17)^2)*T17+((J17-$Z17)^2)*U17+((L17-$Z17)^2)*V17+((N17-$Z17)^2)*W17)/(X17-1))</f>
        <v>1.6672853585689729</v>
      </c>
      <c r="AE17" s="19">
        <f>AC17/(Y17+AC17)</f>
        <v>0.45529026217228469</v>
      </c>
      <c r="AF17" s="18">
        <f>Y17+AC17</f>
        <v>25.631999999999998</v>
      </c>
      <c r="AG17" s="18">
        <f>SQRT((((H17+I17-$AF17)^2)*T17+((J17+K17-$AF17)^2)*U17+((L17+M17-$AF17)^2)*V17+((N17+O17-$AF17)^2)*W17)/(X17-1))</f>
        <v>12.140609704623568</v>
      </c>
      <c r="AH17" s="28">
        <f t="shared" si="4"/>
        <v>0.47365050345753623</v>
      </c>
      <c r="AJ17" s="8">
        <f>((H17+I17-$AF$18)^2)*T17+((J17+K17-$AF$18)^2)*U17+((L17+M17-$AF$18)^2)*V17+((N17+O17-$AF$18)^2)*W17</f>
        <v>23746.458638636715</v>
      </c>
    </row>
    <row r="18" spans="1:36" x14ac:dyDescent="0.2">
      <c r="AF18" s="18">
        <f>AVERAGE(AF2:AF17)</f>
        <v>114.0470625</v>
      </c>
      <c r="AJ18" s="8">
        <f>SQRT(SUM(AJ2:AJ17)/(SUM(X2:X17)-1))</f>
        <v>74.887525490945734</v>
      </c>
    </row>
  </sheetData>
  <mergeCells count="8">
    <mergeCell ref="AB2:AB9"/>
    <mergeCell ref="AB10:AB11"/>
    <mergeCell ref="AB12:AB14"/>
    <mergeCell ref="AB15:AB17"/>
    <mergeCell ref="C2:C9"/>
    <mergeCell ref="C10:C11"/>
    <mergeCell ref="C12:C14"/>
    <mergeCell ref="C15:C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og</vt:lpstr>
      <vt:lpstr>glucose</vt:lpstr>
      <vt:lpstr>C</vt:lpstr>
      <vt:lpstr>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Piao, Ximin</cp:lastModifiedBy>
  <dcterms:created xsi:type="dcterms:W3CDTF">2026-03-12T19:39:04Z</dcterms:created>
  <dcterms:modified xsi:type="dcterms:W3CDTF">2026-03-18T20:47:36Z</dcterms:modified>
</cp:coreProperties>
</file>